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1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carb-my.sharepoint.com/personal/guo_yu_arb_ca_gov/Documents/LCFS Reg Updates/4.0 Calculators/Calculators/"/>
    </mc:Choice>
  </mc:AlternateContent>
  <xr:revisionPtr revIDLastSave="3" documentId="13_ncr:1_{9036C034-E73C-4AD8-A61C-483A38178D29}" xr6:coauthVersionLast="47" xr6:coauthVersionMax="47" xr10:uidLastSave="{7CD2957A-4040-44CC-AED2-A5B53AC516DC}"/>
  <bookViews>
    <workbookView xWindow="-28920" yWindow="-120" windowWidth="29040" windowHeight="15840" xr2:uid="{17471426-3ADA-4786-86CB-3EE4BC701603}"/>
  </bookViews>
  <sheets>
    <sheet name="Introduction" sheetId="1" r:id="rId1"/>
    <sheet name="Pathway Summary" sheetId="2" r:id="rId2"/>
    <sheet name="Manure-to-Biogas (LOP Inputs)" sheetId="3" r:id="rId3"/>
    <sheet name="Avoided Emissions" sheetId="4" r:id="rId4"/>
    <sheet name="Biogas-to-RNG" sheetId="5" r:id="rId5"/>
    <sheet name="EF Table" sheetId="6" r:id="rId6"/>
    <sheet name="Reference" sheetId="7" r:id="rId7"/>
  </sheets>
  <definedNames>
    <definedName name="FuelSpec_NG_CContent">#REF!</definedName>
    <definedName name="NG_LHV">#REF!</definedName>
  </definedNames>
  <calcPr calcId="191028"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2" l="1"/>
  <c r="B51" i="2"/>
  <c r="B50" i="2"/>
  <c r="B49" i="2"/>
  <c r="A51" i="2"/>
  <c r="A50" i="2"/>
  <c r="A49" i="2"/>
  <c r="AH58" i="5"/>
  <c r="F24" i="5"/>
  <c r="B54" i="2"/>
  <c r="B53" i="2"/>
  <c r="C52" i="2" l="1"/>
  <c r="B52" i="2"/>
  <c r="G98" i="5" l="1"/>
  <c r="G47" i="6" l="1"/>
  <c r="G48" i="6"/>
  <c r="G49" i="6"/>
  <c r="B61" i="2" l="1"/>
  <c r="W57" i="5"/>
  <c r="R57" i="5"/>
  <c r="P57" i="5"/>
  <c r="O57" i="5"/>
  <c r="J57" i="5"/>
  <c r="I57" i="5"/>
  <c r="D78" i="5" l="1"/>
  <c r="D77" i="5" l="1"/>
  <c r="D69" i="5"/>
  <c r="AA57" i="5"/>
  <c r="AA56" i="5"/>
  <c r="X57" i="5"/>
  <c r="X56" i="5"/>
  <c r="Q56" i="5"/>
  <c r="Q57" i="5"/>
  <c r="AI26" i="5"/>
  <c r="AI28" i="5"/>
  <c r="F20" i="5" l="1"/>
  <c r="AI27" i="5"/>
  <c r="J24" i="5" l="1"/>
  <c r="D71" i="6"/>
  <c r="I52" i="6"/>
  <c r="S52" i="5"/>
  <c r="S55" i="5" s="1"/>
  <c r="M52" i="5"/>
  <c r="M55" i="5" s="1"/>
  <c r="AI30" i="5"/>
  <c r="AI25" i="5"/>
  <c r="V57" i="5"/>
  <c r="L57" i="5"/>
  <c r="K57" i="5"/>
  <c r="D78" i="6"/>
  <c r="G91" i="5" l="1"/>
  <c r="I54" i="3" l="1"/>
  <c r="BY10" i="3"/>
  <c r="BY11" i="3"/>
  <c r="BY12" i="3"/>
  <c r="BY13" i="3"/>
  <c r="BY14" i="3"/>
  <c r="BY15" i="3"/>
  <c r="BY16" i="3"/>
  <c r="BY17" i="3"/>
  <c r="BY18" i="3"/>
  <c r="BY19" i="3"/>
  <c r="BY20" i="3"/>
  <c r="BY21" i="3"/>
  <c r="BY22" i="3"/>
  <c r="BY23" i="3"/>
  <c r="BY24" i="3"/>
  <c r="BY25" i="3"/>
  <c r="BY26" i="3"/>
  <c r="BY27" i="3"/>
  <c r="BY28" i="3"/>
  <c r="BY29" i="3"/>
  <c r="BY30" i="3"/>
  <c r="BY31" i="3"/>
  <c r="BY32" i="3"/>
  <c r="BY9" i="3"/>
  <c r="BW10" i="3"/>
  <c r="BW11" i="3"/>
  <c r="BW12" i="3"/>
  <c r="BW13" i="3"/>
  <c r="BW14" i="3"/>
  <c r="BW15" i="3"/>
  <c r="BW16" i="3"/>
  <c r="BW17" i="3"/>
  <c r="BW18" i="3"/>
  <c r="BW19" i="3"/>
  <c r="BW20" i="3"/>
  <c r="BW21" i="3"/>
  <c r="BW22" i="3"/>
  <c r="BW23" i="3"/>
  <c r="BW24" i="3"/>
  <c r="BW25" i="3"/>
  <c r="BW26" i="3"/>
  <c r="BW27" i="3"/>
  <c r="BW28" i="3"/>
  <c r="BW29" i="3"/>
  <c r="BW30" i="3"/>
  <c r="BW31" i="3"/>
  <c r="BW32" i="3"/>
  <c r="BW9" i="3"/>
  <c r="BK10" i="3"/>
  <c r="BK11" i="3"/>
  <c r="BK12" i="3"/>
  <c r="BK13" i="3"/>
  <c r="BK14" i="3"/>
  <c r="BK15" i="3"/>
  <c r="BK16" i="3"/>
  <c r="BK17" i="3"/>
  <c r="BK18" i="3"/>
  <c r="BK19" i="3"/>
  <c r="BK20" i="3"/>
  <c r="BK21" i="3"/>
  <c r="BK22" i="3"/>
  <c r="BK23" i="3"/>
  <c r="BK24" i="3"/>
  <c r="BK25" i="3"/>
  <c r="BK26" i="3"/>
  <c r="BK27" i="3"/>
  <c r="BK28" i="3"/>
  <c r="BK29" i="3"/>
  <c r="BK30" i="3"/>
  <c r="BK31" i="3"/>
  <c r="BK32" i="3"/>
  <c r="BK9" i="3"/>
  <c r="BI10" i="3"/>
  <c r="BI11" i="3"/>
  <c r="BI12" i="3"/>
  <c r="BI13" i="3"/>
  <c r="BI14" i="3"/>
  <c r="BI15" i="3"/>
  <c r="BI16" i="3"/>
  <c r="BI17" i="3"/>
  <c r="BI18" i="3"/>
  <c r="BI19" i="3"/>
  <c r="BI20" i="3"/>
  <c r="BI21" i="3"/>
  <c r="BI22" i="3"/>
  <c r="BI23" i="3"/>
  <c r="BI24" i="3"/>
  <c r="BI25" i="3"/>
  <c r="BI26" i="3"/>
  <c r="BI27" i="3"/>
  <c r="BI28" i="3"/>
  <c r="BI29" i="3"/>
  <c r="BI30" i="3"/>
  <c r="BI31" i="3"/>
  <c r="BI32" i="3"/>
  <c r="BI9" i="3"/>
  <c r="AW10" i="3"/>
  <c r="AW11" i="3"/>
  <c r="AW12" i="3"/>
  <c r="AW13" i="3"/>
  <c r="AW14" i="3"/>
  <c r="AW15" i="3"/>
  <c r="AW16" i="3"/>
  <c r="AW17" i="3"/>
  <c r="AW18" i="3"/>
  <c r="AW19" i="3"/>
  <c r="AW20" i="3"/>
  <c r="AW21" i="3"/>
  <c r="AW22" i="3"/>
  <c r="AW23" i="3"/>
  <c r="AW24" i="3"/>
  <c r="AW25" i="3"/>
  <c r="AW26" i="3"/>
  <c r="AW27" i="3"/>
  <c r="AW28" i="3"/>
  <c r="AW29" i="3"/>
  <c r="AW30" i="3"/>
  <c r="AW31" i="3"/>
  <c r="AW32" i="3"/>
  <c r="AW9" i="3"/>
  <c r="AU10" i="3"/>
  <c r="AU11" i="3"/>
  <c r="AU12" i="3"/>
  <c r="AU13" i="3"/>
  <c r="AU14" i="3"/>
  <c r="AU15" i="3"/>
  <c r="AU16" i="3"/>
  <c r="AU17" i="3"/>
  <c r="AU18" i="3"/>
  <c r="AU19" i="3"/>
  <c r="AU20" i="3"/>
  <c r="AU21" i="3"/>
  <c r="AU22" i="3"/>
  <c r="AU23" i="3"/>
  <c r="AU24" i="3"/>
  <c r="AU25" i="3"/>
  <c r="AU26" i="3"/>
  <c r="AU27" i="3"/>
  <c r="AU28" i="3"/>
  <c r="AU29" i="3"/>
  <c r="AU30" i="3"/>
  <c r="AU31" i="3"/>
  <c r="AU32" i="3"/>
  <c r="AU9" i="3"/>
  <c r="AI10" i="3"/>
  <c r="AI11" i="3"/>
  <c r="AI12" i="3"/>
  <c r="AI13" i="3"/>
  <c r="AI14" i="3"/>
  <c r="AI15" i="3"/>
  <c r="AI16" i="3"/>
  <c r="AI17" i="3"/>
  <c r="AI18" i="3"/>
  <c r="AI19" i="3"/>
  <c r="AI20" i="3"/>
  <c r="AI21" i="3"/>
  <c r="AI22" i="3"/>
  <c r="AI23" i="3"/>
  <c r="AI24" i="3"/>
  <c r="AI25" i="3"/>
  <c r="AI26" i="3"/>
  <c r="AI27" i="3"/>
  <c r="AI28" i="3"/>
  <c r="AI29" i="3"/>
  <c r="AI30" i="3"/>
  <c r="AI31" i="3"/>
  <c r="AI32" i="3"/>
  <c r="AI9" i="3"/>
  <c r="AG10" i="3"/>
  <c r="AG11" i="3"/>
  <c r="AG12" i="3"/>
  <c r="AG13" i="3"/>
  <c r="AG14" i="3"/>
  <c r="AG15" i="3"/>
  <c r="AG16" i="3"/>
  <c r="AG17" i="3"/>
  <c r="AG18" i="3"/>
  <c r="AG19" i="3"/>
  <c r="AG20" i="3"/>
  <c r="AG21" i="3"/>
  <c r="AG22" i="3"/>
  <c r="AG23" i="3"/>
  <c r="AG24" i="3"/>
  <c r="AG25" i="3"/>
  <c r="AG26" i="3"/>
  <c r="AG27" i="3"/>
  <c r="AG28" i="3"/>
  <c r="AG29" i="3"/>
  <c r="AG30" i="3"/>
  <c r="AG31" i="3"/>
  <c r="AG32" i="3"/>
  <c r="AG9" i="3"/>
  <c r="U10" i="3"/>
  <c r="U11" i="3"/>
  <c r="U12" i="3"/>
  <c r="U13" i="3"/>
  <c r="U14" i="3"/>
  <c r="U15" i="3"/>
  <c r="U16" i="3"/>
  <c r="U17" i="3"/>
  <c r="U18" i="3"/>
  <c r="U19" i="3"/>
  <c r="U20" i="3"/>
  <c r="U21" i="3"/>
  <c r="U22" i="3"/>
  <c r="U23" i="3"/>
  <c r="U24" i="3"/>
  <c r="U25" i="3"/>
  <c r="U26" i="3"/>
  <c r="U27" i="3"/>
  <c r="U28" i="3"/>
  <c r="U29" i="3"/>
  <c r="U30" i="3"/>
  <c r="U31" i="3"/>
  <c r="U32" i="3"/>
  <c r="U9" i="3"/>
  <c r="S10" i="3"/>
  <c r="S11" i="3"/>
  <c r="S12" i="3"/>
  <c r="S13" i="3"/>
  <c r="S14" i="3"/>
  <c r="S15" i="3"/>
  <c r="S16" i="3"/>
  <c r="S17" i="3"/>
  <c r="S18" i="3"/>
  <c r="S19" i="3"/>
  <c r="S20" i="3"/>
  <c r="S21" i="3"/>
  <c r="S22" i="3"/>
  <c r="S23" i="3"/>
  <c r="S24" i="3"/>
  <c r="S25" i="3"/>
  <c r="S26" i="3"/>
  <c r="S27" i="3"/>
  <c r="S28" i="3"/>
  <c r="S29" i="3"/>
  <c r="S30" i="3"/>
  <c r="S31" i="3"/>
  <c r="S32" i="3"/>
  <c r="S9" i="3"/>
  <c r="F7" i="2" l="1"/>
  <c r="I57" i="3"/>
  <c r="I58" i="3"/>
  <c r="I59" i="3"/>
  <c r="I60" i="3"/>
  <c r="I61" i="3"/>
  <c r="I62" i="3"/>
  <c r="I63" i="3"/>
  <c r="I64" i="3"/>
  <c r="I65" i="3"/>
  <c r="I66" i="3"/>
  <c r="I67" i="3"/>
  <c r="I68" i="3"/>
  <c r="I69" i="3"/>
  <c r="I70" i="3"/>
  <c r="I71" i="3"/>
  <c r="I72" i="3"/>
  <c r="I73" i="3"/>
  <c r="I74" i="3"/>
  <c r="I75" i="3"/>
  <c r="I76" i="3"/>
  <c r="I77" i="3"/>
  <c r="I56" i="3"/>
  <c r="I55" i="3"/>
  <c r="B48" i="2" l="1"/>
  <c r="B47" i="2"/>
  <c r="B66" i="2"/>
  <c r="B70" i="2"/>
  <c r="B34" i="2"/>
  <c r="I78" i="3"/>
  <c r="F6" i="2"/>
  <c r="B55" i="3"/>
  <c r="B56" i="3"/>
  <c r="B57" i="3"/>
  <c r="B58" i="3"/>
  <c r="B59" i="3"/>
  <c r="B60" i="3"/>
  <c r="B61" i="3"/>
  <c r="B62" i="3"/>
  <c r="B63" i="3"/>
  <c r="B64" i="3"/>
  <c r="B65" i="3"/>
  <c r="B66" i="3"/>
  <c r="B67" i="3"/>
  <c r="B68" i="3"/>
  <c r="B69" i="3"/>
  <c r="B70" i="3"/>
  <c r="B71" i="3"/>
  <c r="B72" i="3"/>
  <c r="B73" i="3"/>
  <c r="B74" i="3"/>
  <c r="B75" i="3"/>
  <c r="B76" i="3"/>
  <c r="B77" i="3"/>
  <c r="B54" i="3"/>
  <c r="H24" i="5"/>
  <c r="Q52" i="5" l="1"/>
  <c r="J84" i="3"/>
  <c r="Q55" i="5" l="1"/>
  <c r="E69" i="5" s="1"/>
  <c r="B4" i="2"/>
  <c r="D62" i="7" l="1"/>
  <c r="B62" i="7"/>
  <c r="C208" i="7" l="1"/>
  <c r="C207" i="7"/>
  <c r="C206" i="7"/>
  <c r="C205" i="7"/>
  <c r="C204" i="7"/>
  <c r="C203" i="7"/>
  <c r="C201" i="7"/>
  <c r="D109" i="7"/>
  <c r="D107" i="7"/>
  <c r="C100" i="7"/>
  <c r="C99" i="7"/>
  <c r="C96" i="7"/>
  <c r="C94" i="7"/>
  <c r="E61" i="7"/>
  <c r="C61" i="7"/>
  <c r="E60" i="7"/>
  <c r="C60" i="7"/>
  <c r="E59" i="7"/>
  <c r="C59" i="7"/>
  <c r="D72" i="6"/>
  <c r="U57" i="5" s="1"/>
  <c r="D62" i="6"/>
  <c r="I53" i="6"/>
  <c r="H53" i="6"/>
  <c r="T57" i="5"/>
  <c r="H52" i="6"/>
  <c r="F52" i="6"/>
  <c r="E52" i="6"/>
  <c r="D52" i="6"/>
  <c r="G51" i="6"/>
  <c r="G50" i="6"/>
  <c r="F91" i="5"/>
  <c r="B64" i="5"/>
  <c r="P56" i="5"/>
  <c r="L56" i="5"/>
  <c r="AG52" i="5"/>
  <c r="AF52" i="5"/>
  <c r="AE52" i="5"/>
  <c r="AE54" i="5" s="1"/>
  <c r="AE55" i="5" s="1"/>
  <c r="AD52" i="5"/>
  <c r="AB52" i="5"/>
  <c r="AC52" i="5" s="1"/>
  <c r="AC53" i="5" s="1"/>
  <c r="AA52" i="5"/>
  <c r="Z52" i="5"/>
  <c r="Y52" i="5"/>
  <c r="X52" i="5"/>
  <c r="W52" i="5"/>
  <c r="V52" i="5"/>
  <c r="U52" i="5"/>
  <c r="B71" i="2" s="1"/>
  <c r="T52" i="5"/>
  <c r="R52" i="5"/>
  <c r="R54" i="5" s="1"/>
  <c r="R55" i="5" s="1"/>
  <c r="R58" i="5" s="1"/>
  <c r="P52" i="5"/>
  <c r="O52" i="5"/>
  <c r="N52" i="5"/>
  <c r="N54" i="5" s="1"/>
  <c r="N55" i="5" s="1"/>
  <c r="L52" i="5"/>
  <c r="K52" i="5"/>
  <c r="J52" i="5"/>
  <c r="J54" i="5" s="1"/>
  <c r="J55" i="5" s="1"/>
  <c r="I52" i="5"/>
  <c r="B17" i="2" s="1"/>
  <c r="G52" i="5"/>
  <c r="B26" i="2" s="1"/>
  <c r="E52" i="5"/>
  <c r="C52" i="5"/>
  <c r="F18" i="5"/>
  <c r="D12" i="5"/>
  <c r="D11" i="5"/>
  <c r="D10" i="5"/>
  <c r="G31" i="4"/>
  <c r="B31" i="4"/>
  <c r="G30" i="4"/>
  <c r="B30" i="4"/>
  <c r="G29" i="4"/>
  <c r="B29" i="4"/>
  <c r="G28" i="4"/>
  <c r="B28" i="4"/>
  <c r="G27" i="4"/>
  <c r="B27" i="4"/>
  <c r="G26" i="4"/>
  <c r="B26" i="4"/>
  <c r="G25" i="4"/>
  <c r="B25" i="4"/>
  <c r="G24" i="4"/>
  <c r="B24" i="4"/>
  <c r="G23" i="4"/>
  <c r="B23" i="4"/>
  <c r="G22" i="4"/>
  <c r="B22" i="4"/>
  <c r="G21" i="4"/>
  <c r="B21" i="4"/>
  <c r="G20" i="4"/>
  <c r="B20" i="4"/>
  <c r="G19" i="4"/>
  <c r="B19" i="4"/>
  <c r="G18" i="4"/>
  <c r="B18" i="4"/>
  <c r="G17" i="4"/>
  <c r="B17" i="4"/>
  <c r="G16" i="4"/>
  <c r="B16" i="4"/>
  <c r="G15" i="4"/>
  <c r="B15" i="4"/>
  <c r="G14" i="4"/>
  <c r="B14" i="4"/>
  <c r="G13" i="4"/>
  <c r="B13" i="4"/>
  <c r="G12" i="4"/>
  <c r="B12" i="4"/>
  <c r="G11" i="4"/>
  <c r="B11" i="4"/>
  <c r="G10" i="4"/>
  <c r="B10" i="4"/>
  <c r="G9" i="4"/>
  <c r="B9" i="4"/>
  <c r="G8" i="4"/>
  <c r="B8" i="4"/>
  <c r="C106" i="3"/>
  <c r="C105" i="3"/>
  <c r="C104" i="3"/>
  <c r="C103" i="3"/>
  <c r="C102" i="3"/>
  <c r="C100" i="3"/>
  <c r="C99" i="3"/>
  <c r="C98" i="3"/>
  <c r="C97" i="3"/>
  <c r="C96" i="3"/>
  <c r="I94" i="3"/>
  <c r="H94" i="3"/>
  <c r="G94" i="3"/>
  <c r="F94" i="3"/>
  <c r="E94" i="3"/>
  <c r="D94" i="3"/>
  <c r="C89" i="3"/>
  <c r="B89" i="3"/>
  <c r="C88" i="3"/>
  <c r="B88" i="3"/>
  <c r="C87" i="3"/>
  <c r="B87" i="3"/>
  <c r="C86" i="3"/>
  <c r="B86" i="3"/>
  <c r="C85" i="3"/>
  <c r="B85" i="3"/>
  <c r="I84" i="3"/>
  <c r="C84" i="3"/>
  <c r="B84" i="3"/>
  <c r="D31" i="4"/>
  <c r="D30" i="4"/>
  <c r="D29" i="4"/>
  <c r="D28" i="4"/>
  <c r="D27" i="4"/>
  <c r="D26" i="4"/>
  <c r="D25" i="4"/>
  <c r="D24" i="4"/>
  <c r="D23" i="4"/>
  <c r="D22" i="4"/>
  <c r="D21" i="4"/>
  <c r="D20" i="4"/>
  <c r="D19" i="4"/>
  <c r="D18" i="4"/>
  <c r="D17" i="4"/>
  <c r="D16" i="4"/>
  <c r="D15" i="4"/>
  <c r="D14" i="4"/>
  <c r="D13" i="4"/>
  <c r="D12" i="4"/>
  <c r="D11" i="4"/>
  <c r="D10" i="4"/>
  <c r="D9" i="4"/>
  <c r="D8" i="4"/>
  <c r="C46" i="3"/>
  <c r="C45" i="3"/>
  <c r="C44" i="3"/>
  <c r="C43" i="3"/>
  <c r="C42" i="3"/>
  <c r="C41" i="3"/>
  <c r="C40" i="3"/>
  <c r="I38" i="3"/>
  <c r="H38" i="3"/>
  <c r="G38" i="3"/>
  <c r="F38" i="3"/>
  <c r="E38" i="3"/>
  <c r="D38" i="3"/>
  <c r="BZ32" i="3"/>
  <c r="BU32" i="3"/>
  <c r="BL32" i="3"/>
  <c r="BG32" i="3"/>
  <c r="AX32" i="3"/>
  <c r="AS32" i="3"/>
  <c r="AJ32" i="3"/>
  <c r="AE32" i="3"/>
  <c r="V32" i="3"/>
  <c r="Q32" i="3"/>
  <c r="H32" i="3"/>
  <c r="BZ31" i="3"/>
  <c r="BU31" i="3"/>
  <c r="BL31" i="3"/>
  <c r="BG31" i="3"/>
  <c r="AX31" i="3"/>
  <c r="AS31" i="3"/>
  <c r="AJ31" i="3"/>
  <c r="AE31" i="3"/>
  <c r="V31" i="3"/>
  <c r="Q31" i="3"/>
  <c r="H31" i="3"/>
  <c r="BZ30" i="3"/>
  <c r="BU30" i="3"/>
  <c r="BL30" i="3"/>
  <c r="BG30" i="3"/>
  <c r="AX30" i="3"/>
  <c r="AS30" i="3"/>
  <c r="AJ30" i="3"/>
  <c r="AE30" i="3"/>
  <c r="V30" i="3"/>
  <c r="Q30" i="3"/>
  <c r="H30" i="3"/>
  <c r="BZ29" i="3"/>
  <c r="BU29" i="3"/>
  <c r="BL29" i="3"/>
  <c r="BG29" i="3"/>
  <c r="AX29" i="3"/>
  <c r="AS29" i="3"/>
  <c r="AJ29" i="3"/>
  <c r="AE29" i="3"/>
  <c r="V29" i="3"/>
  <c r="Q29" i="3"/>
  <c r="H29" i="3"/>
  <c r="BZ28" i="3"/>
  <c r="BU28" i="3"/>
  <c r="BL28" i="3"/>
  <c r="BG28" i="3"/>
  <c r="AX28" i="3"/>
  <c r="AS28" i="3"/>
  <c r="AJ28" i="3"/>
  <c r="AE28" i="3"/>
  <c r="V28" i="3"/>
  <c r="Q28" i="3"/>
  <c r="H28" i="3"/>
  <c r="BZ27" i="3"/>
  <c r="BU27" i="3"/>
  <c r="BL27" i="3"/>
  <c r="BG27" i="3"/>
  <c r="AX27" i="3"/>
  <c r="AS27" i="3"/>
  <c r="AJ27" i="3"/>
  <c r="AE27" i="3"/>
  <c r="V27" i="3"/>
  <c r="Q27" i="3"/>
  <c r="H27" i="3"/>
  <c r="BZ26" i="3"/>
  <c r="BU26" i="3"/>
  <c r="BL26" i="3"/>
  <c r="BG26" i="3"/>
  <c r="AX26" i="3"/>
  <c r="AS26" i="3"/>
  <c r="AJ26" i="3"/>
  <c r="AE26" i="3"/>
  <c r="V26" i="3"/>
  <c r="Q26" i="3"/>
  <c r="H26" i="3"/>
  <c r="BZ25" i="3"/>
  <c r="BU25" i="3"/>
  <c r="BL25" i="3"/>
  <c r="BG25" i="3"/>
  <c r="AX25" i="3"/>
  <c r="AS25" i="3"/>
  <c r="AJ25" i="3"/>
  <c r="AE25" i="3"/>
  <c r="V25" i="3"/>
  <c r="Q25" i="3"/>
  <c r="H25" i="3"/>
  <c r="BZ24" i="3"/>
  <c r="BU24" i="3"/>
  <c r="BL24" i="3"/>
  <c r="BG24" i="3"/>
  <c r="AX24" i="3"/>
  <c r="AS24" i="3"/>
  <c r="AJ24" i="3"/>
  <c r="AE24" i="3"/>
  <c r="V24" i="3"/>
  <c r="Q24" i="3"/>
  <c r="H24" i="3"/>
  <c r="BZ23" i="3"/>
  <c r="BU23" i="3"/>
  <c r="BL23" i="3"/>
  <c r="BG23" i="3"/>
  <c r="AX23" i="3"/>
  <c r="AS23" i="3"/>
  <c r="AJ23" i="3"/>
  <c r="AE23" i="3"/>
  <c r="V23" i="3"/>
  <c r="Q23" i="3"/>
  <c r="H23" i="3"/>
  <c r="BZ22" i="3"/>
  <c r="BU22" i="3"/>
  <c r="BL22" i="3"/>
  <c r="BG22" i="3"/>
  <c r="AX22" i="3"/>
  <c r="AS22" i="3"/>
  <c r="AJ22" i="3"/>
  <c r="AE22" i="3"/>
  <c r="V22" i="3"/>
  <c r="Q22" i="3"/>
  <c r="H22" i="3"/>
  <c r="BZ21" i="3"/>
  <c r="BU21" i="3"/>
  <c r="BL21" i="3"/>
  <c r="BG21" i="3"/>
  <c r="AX21" i="3"/>
  <c r="AS21" i="3"/>
  <c r="AJ21" i="3"/>
  <c r="AE21" i="3"/>
  <c r="V21" i="3"/>
  <c r="Q21" i="3"/>
  <c r="H21" i="3"/>
  <c r="BZ20" i="3"/>
  <c r="BU20" i="3"/>
  <c r="BL20" i="3"/>
  <c r="BG20" i="3"/>
  <c r="AX20" i="3"/>
  <c r="AS20" i="3"/>
  <c r="AJ20" i="3"/>
  <c r="AE20" i="3"/>
  <c r="V20" i="3"/>
  <c r="Q20" i="3"/>
  <c r="H20" i="3"/>
  <c r="BZ19" i="3"/>
  <c r="BU19" i="3"/>
  <c r="BL19" i="3"/>
  <c r="BG19" i="3"/>
  <c r="AX19" i="3"/>
  <c r="AS19" i="3"/>
  <c r="AJ19" i="3"/>
  <c r="AE19" i="3"/>
  <c r="V19" i="3"/>
  <c r="Q19" i="3"/>
  <c r="H19" i="3"/>
  <c r="BZ18" i="3"/>
  <c r="BU18" i="3"/>
  <c r="BL18" i="3"/>
  <c r="BG18" i="3"/>
  <c r="AX18" i="3"/>
  <c r="AS18" i="3"/>
  <c r="AJ18" i="3"/>
  <c r="AE18" i="3"/>
  <c r="V18" i="3"/>
  <c r="Q18" i="3"/>
  <c r="H18" i="3"/>
  <c r="BZ17" i="3"/>
  <c r="BU17" i="3"/>
  <c r="BL17" i="3"/>
  <c r="BG17" i="3"/>
  <c r="AX17" i="3"/>
  <c r="AS17" i="3"/>
  <c r="AJ17" i="3"/>
  <c r="AE17" i="3"/>
  <c r="V17" i="3"/>
  <c r="Q17" i="3"/>
  <c r="H17" i="3"/>
  <c r="BZ16" i="3"/>
  <c r="BU16" i="3"/>
  <c r="BT16" i="3"/>
  <c r="E89" i="3" s="1"/>
  <c r="BL16" i="3"/>
  <c r="BG16" i="3"/>
  <c r="BF16" i="3"/>
  <c r="E88" i="3" s="1"/>
  <c r="AX16" i="3"/>
  <c r="AS16" i="3"/>
  <c r="AR16" i="3"/>
  <c r="E87" i="3" s="1"/>
  <c r="AJ16" i="3"/>
  <c r="AE16" i="3"/>
  <c r="AD16" i="3"/>
  <c r="E86" i="3" s="1"/>
  <c r="V16" i="3"/>
  <c r="Q16" i="3"/>
  <c r="P16" i="3"/>
  <c r="E85" i="3" s="1"/>
  <c r="H16" i="3"/>
  <c r="B16" i="3"/>
  <c r="E84" i="3" s="1"/>
  <c r="BZ15" i="3"/>
  <c r="BU15" i="3"/>
  <c r="BL15" i="3"/>
  <c r="BG15" i="3"/>
  <c r="AX15" i="3"/>
  <c r="AS15" i="3"/>
  <c r="AJ15" i="3"/>
  <c r="AE15" i="3"/>
  <c r="V15" i="3"/>
  <c r="Q15" i="3"/>
  <c r="H15" i="3"/>
  <c r="BZ14" i="3"/>
  <c r="BU14" i="3"/>
  <c r="BL14" i="3"/>
  <c r="BG14" i="3"/>
  <c r="AX14" i="3"/>
  <c r="AS14" i="3"/>
  <c r="AJ14" i="3"/>
  <c r="AE14" i="3"/>
  <c r="V14" i="3"/>
  <c r="Q14" i="3"/>
  <c r="H14" i="3"/>
  <c r="BZ13" i="3"/>
  <c r="BU13" i="3"/>
  <c r="BL13" i="3"/>
  <c r="BG13" i="3"/>
  <c r="AX13" i="3"/>
  <c r="AS13" i="3"/>
  <c r="AJ13" i="3"/>
  <c r="AE13" i="3"/>
  <c r="V13" i="3"/>
  <c r="Q13" i="3"/>
  <c r="H13" i="3"/>
  <c r="BZ12" i="3"/>
  <c r="BU12" i="3"/>
  <c r="BT12" i="3"/>
  <c r="BT20" i="3" s="1"/>
  <c r="BL12" i="3"/>
  <c r="BG12" i="3"/>
  <c r="BF12" i="3"/>
  <c r="BF20" i="3" s="1"/>
  <c r="BN9" i="3" s="1"/>
  <c r="AX12" i="3"/>
  <c r="AS12" i="3"/>
  <c r="AR12" i="3"/>
  <c r="AR20" i="3" s="1"/>
  <c r="AJ12" i="3"/>
  <c r="AE12" i="3"/>
  <c r="AD12" i="3"/>
  <c r="V12" i="3"/>
  <c r="Q12" i="3"/>
  <c r="P12" i="3"/>
  <c r="P20" i="3" s="1"/>
  <c r="H12" i="3"/>
  <c r="B12" i="3"/>
  <c r="B20" i="3" s="1"/>
  <c r="J9" i="3" s="1"/>
  <c r="BZ11" i="3"/>
  <c r="BU11" i="3"/>
  <c r="BL11" i="3"/>
  <c r="BG11" i="3"/>
  <c r="AX11" i="3"/>
  <c r="AS11" i="3"/>
  <c r="AJ11" i="3"/>
  <c r="AE11" i="3"/>
  <c r="V11" i="3"/>
  <c r="Q11" i="3"/>
  <c r="H11" i="3"/>
  <c r="BZ10" i="3"/>
  <c r="BU10" i="3"/>
  <c r="BL10" i="3"/>
  <c r="BG10" i="3"/>
  <c r="AX10" i="3"/>
  <c r="AS10" i="3"/>
  <c r="AJ10" i="3"/>
  <c r="AE10" i="3"/>
  <c r="V10" i="3"/>
  <c r="Q10" i="3"/>
  <c r="H10" i="3"/>
  <c r="BZ9" i="3"/>
  <c r="BU9" i="3"/>
  <c r="BT9" i="3"/>
  <c r="BL9" i="3"/>
  <c r="BG9" i="3"/>
  <c r="BF9" i="3"/>
  <c r="AX9" i="3"/>
  <c r="AS9" i="3"/>
  <c r="AR9" i="3"/>
  <c r="AJ9" i="3"/>
  <c r="AE9" i="3"/>
  <c r="AD9" i="3"/>
  <c r="V9" i="3"/>
  <c r="Q9" i="3"/>
  <c r="P9" i="3"/>
  <c r="H9" i="3"/>
  <c r="B65" i="2"/>
  <c r="F48" i="2"/>
  <c r="B40" i="2"/>
  <c r="B39" i="2"/>
  <c r="B38" i="2"/>
  <c r="B18" i="2"/>
  <c r="B14" i="2"/>
  <c r="B13" i="2"/>
  <c r="B10" i="2"/>
  <c r="B3" i="2"/>
  <c r="B46" i="2" l="1"/>
  <c r="X55" i="5"/>
  <c r="E77" i="5" s="1"/>
  <c r="B44" i="2"/>
  <c r="AA55" i="5"/>
  <c r="E78" i="5" s="1"/>
  <c r="B45" i="2"/>
  <c r="B43" i="2"/>
  <c r="E76" i="5"/>
  <c r="AD20" i="3"/>
  <c r="AL9" i="3" s="1"/>
  <c r="AO9" i="3" s="1"/>
  <c r="AP9" i="3" s="1"/>
  <c r="AC57" i="5"/>
  <c r="M57" i="5"/>
  <c r="E67" i="5" s="1"/>
  <c r="S57" i="5"/>
  <c r="E73" i="5" s="1"/>
  <c r="C45" i="4"/>
  <c r="T58" i="5"/>
  <c r="O54" i="5"/>
  <c r="L55" i="5"/>
  <c r="D32" i="4"/>
  <c r="G32" i="4"/>
  <c r="B32" i="2" s="1"/>
  <c r="E72" i="5"/>
  <c r="T54" i="5"/>
  <c r="T55" i="5" s="1"/>
  <c r="E74" i="5" s="1"/>
  <c r="H52" i="5"/>
  <c r="E64" i="5"/>
  <c r="F92" i="5"/>
  <c r="G92" i="5" s="1"/>
  <c r="F49" i="2" s="1"/>
  <c r="E65" i="5"/>
  <c r="E71" i="5"/>
  <c r="C63" i="7"/>
  <c r="G52" i="6"/>
  <c r="J52" i="6" s="1"/>
  <c r="BQ9" i="3"/>
  <c r="BR9" i="3" s="1"/>
  <c r="D85" i="3"/>
  <c r="X9" i="3"/>
  <c r="D87" i="3"/>
  <c r="H87" i="3" s="1"/>
  <c r="AZ9" i="3"/>
  <c r="M9" i="3"/>
  <c r="N9" i="3" s="1"/>
  <c r="C44" i="4"/>
  <c r="AC55" i="5"/>
  <c r="AC54" i="5"/>
  <c r="D88" i="3"/>
  <c r="D89" i="3"/>
  <c r="AD55" i="5"/>
  <c r="C43" i="4"/>
  <c r="AD54" i="5"/>
  <c r="E63" i="7"/>
  <c r="CB9" i="3"/>
  <c r="E75" i="5"/>
  <c r="D84" i="3"/>
  <c r="D52" i="5"/>
  <c r="D53" i="5" s="1"/>
  <c r="B28" i="2" s="1"/>
  <c r="O55" i="5"/>
  <c r="E66" i="5" s="1"/>
  <c r="F94" i="5"/>
  <c r="G94" i="5" s="1"/>
  <c r="F52" i="5"/>
  <c r="F53" i="5" s="1"/>
  <c r="N57" i="5"/>
  <c r="E68" i="5" s="1"/>
  <c r="B55" i="2" l="1"/>
  <c r="B72" i="2"/>
  <c r="AL29" i="5"/>
  <c r="E83" i="5"/>
  <c r="E82" i="5"/>
  <c r="D86" i="3"/>
  <c r="H86" i="3" s="1"/>
  <c r="E79" i="5"/>
  <c r="E84" i="5"/>
  <c r="E88" i="5" a="1"/>
  <c r="E88" i="5" s="1"/>
  <c r="E87" i="5"/>
  <c r="B27" i="2"/>
  <c r="C41" i="4"/>
  <c r="AN10" i="3"/>
  <c r="AL10" i="3" s="1"/>
  <c r="AO10" i="3" s="1"/>
  <c r="AP10" i="3" s="1"/>
  <c r="C40" i="4"/>
  <c r="H53" i="5"/>
  <c r="D55" i="5"/>
  <c r="D54" i="5"/>
  <c r="I107" i="3"/>
  <c r="I108" i="3" s="1"/>
  <c r="I47" i="3"/>
  <c r="H89" i="3"/>
  <c r="L10" i="3"/>
  <c r="F55" i="5"/>
  <c r="F54" i="5"/>
  <c r="BC9" i="3"/>
  <c r="BD9" i="3" s="1"/>
  <c r="B29" i="2"/>
  <c r="E107" i="3"/>
  <c r="E108" i="3" s="1"/>
  <c r="E47" i="3"/>
  <c r="H85" i="3"/>
  <c r="G47" i="3"/>
  <c r="G107" i="3"/>
  <c r="G108" i="3" s="1"/>
  <c r="H107" i="3"/>
  <c r="H108" i="3" s="1"/>
  <c r="H88" i="3"/>
  <c r="H47" i="3"/>
  <c r="F47" i="3"/>
  <c r="F107" i="3"/>
  <c r="F108" i="3" s="1"/>
  <c r="CE9" i="3"/>
  <c r="CF9" i="3" s="1"/>
  <c r="D107" i="3"/>
  <c r="D108" i="3" s="1"/>
  <c r="D47" i="3"/>
  <c r="H84" i="3"/>
  <c r="AA9" i="3"/>
  <c r="AB9" i="3" s="1"/>
  <c r="BP10" i="3"/>
  <c r="BN10" i="3" s="1"/>
  <c r="C47" i="4" l="1"/>
  <c r="K84" i="3"/>
  <c r="E32" i="4" s="1"/>
  <c r="F79" i="5"/>
  <c r="G79" i="5" s="1"/>
  <c r="F32" i="2" s="1"/>
  <c r="F73" i="5"/>
  <c r="G73" i="5" s="1"/>
  <c r="F67" i="5"/>
  <c r="G67" i="5" s="1"/>
  <c r="F78" i="5"/>
  <c r="G78" i="5" s="1"/>
  <c r="F77" i="5"/>
  <c r="G77" i="5" s="1"/>
  <c r="F64" i="5"/>
  <c r="G64" i="5" s="1"/>
  <c r="F72" i="5"/>
  <c r="G72" i="5" s="1"/>
  <c r="F66" i="5"/>
  <c r="G66" i="5" s="1"/>
  <c r="F65" i="5"/>
  <c r="G65" i="5" s="1"/>
  <c r="F83" i="5"/>
  <c r="G83" i="5" s="1"/>
  <c r="F68" i="5"/>
  <c r="G68" i="5" s="1"/>
  <c r="F75" i="5"/>
  <c r="G75" i="5" s="1"/>
  <c r="F71" i="5"/>
  <c r="G71" i="5" s="1"/>
  <c r="F76" i="5"/>
  <c r="G76" i="5" s="1"/>
  <c r="F69" i="5"/>
  <c r="G69" i="5" s="1"/>
  <c r="F74" i="5"/>
  <c r="G74" i="5" s="1"/>
  <c r="C42" i="4"/>
  <c r="Z10" i="3"/>
  <c r="X10" i="3" s="1"/>
  <c r="AA10" i="3" s="1"/>
  <c r="AB10" i="3" s="1"/>
  <c r="F88" i="5"/>
  <c r="G88" i="5" s="1"/>
  <c r="C8" i="4"/>
  <c r="C48" i="4"/>
  <c r="F87" i="5"/>
  <c r="G87" i="5" s="1"/>
  <c r="F82" i="5"/>
  <c r="G82" i="5" s="1"/>
  <c r="H54" i="5"/>
  <c r="H55" i="5"/>
  <c r="CD10" i="3"/>
  <c r="CB10" i="3" s="1"/>
  <c r="CE10" i="3" s="1"/>
  <c r="CF10" i="3" s="1"/>
  <c r="F84" i="5"/>
  <c r="G84" i="5" s="1"/>
  <c r="G86" i="5" s="1"/>
  <c r="BB10" i="3"/>
  <c r="AZ10" i="3" s="1"/>
  <c r="J47" i="3"/>
  <c r="B20" i="2" s="1"/>
  <c r="J10" i="3"/>
  <c r="AN11" i="3"/>
  <c r="AL11" i="3" s="1"/>
  <c r="J108" i="3"/>
  <c r="BQ10" i="3"/>
  <c r="BR10" i="3" s="1"/>
  <c r="AH55" i="5" l="1"/>
  <c r="B33" i="2" s="1"/>
  <c r="G70" i="5"/>
  <c r="F32" i="4"/>
  <c r="C37" i="4" s="1"/>
  <c r="B31" i="2"/>
  <c r="F35" i="2"/>
  <c r="BP11" i="3"/>
  <c r="BN11" i="3" s="1"/>
  <c r="BQ11" i="3" s="1"/>
  <c r="G89" i="5"/>
  <c r="F42" i="2" s="1"/>
  <c r="M10" i="3"/>
  <c r="N10" i="3" s="1"/>
  <c r="Z11" i="3"/>
  <c r="X11" i="3" s="1"/>
  <c r="BC10" i="3"/>
  <c r="BD10" i="3" s="1"/>
  <c r="CD11" i="3"/>
  <c r="CB11" i="3" s="1"/>
  <c r="AO11" i="3"/>
  <c r="AP11" i="3" s="1"/>
  <c r="B30" i="2"/>
  <c r="F28" i="2" l="1"/>
  <c r="E80" i="5"/>
  <c r="F80" i="5" s="1"/>
  <c r="G80" i="5" s="1"/>
  <c r="F31" i="2" s="1"/>
  <c r="BB11" i="3"/>
  <c r="AZ11" i="3" s="1"/>
  <c r="BC11" i="3" s="1"/>
  <c r="BD11" i="3" s="1"/>
  <c r="BR11" i="3"/>
  <c r="BP12" i="3"/>
  <c r="BN12" i="3" s="1"/>
  <c r="BQ12" i="3" s="1"/>
  <c r="AN12" i="3"/>
  <c r="AL12" i="3" s="1"/>
  <c r="AO12" i="3" s="1"/>
  <c r="AP12" i="3" s="1"/>
  <c r="B35" i="2"/>
  <c r="CE11" i="3"/>
  <c r="CF11" i="3" s="1"/>
  <c r="AA11" i="3"/>
  <c r="AB11" i="3" s="1"/>
  <c r="C9" i="4"/>
  <c r="L11" i="3"/>
  <c r="G81" i="5" l="1"/>
  <c r="BR12" i="3"/>
  <c r="BP13" i="3"/>
  <c r="BN13" i="3" s="1"/>
  <c r="BQ13" i="3" s="1"/>
  <c r="BR13" i="3" s="1"/>
  <c r="BB12" i="3"/>
  <c r="AZ12" i="3" s="1"/>
  <c r="BC12" i="3" s="1"/>
  <c r="BD12" i="3" s="1"/>
  <c r="J11" i="3"/>
  <c r="AN13" i="3"/>
  <c r="AL13" i="3" s="1"/>
  <c r="CD12" i="3"/>
  <c r="CB12" i="3" s="1"/>
  <c r="Z12" i="3"/>
  <c r="X12" i="3" s="1"/>
  <c r="BB13" i="3" l="1"/>
  <c r="AZ13" i="3" s="1"/>
  <c r="BC13" i="3" s="1"/>
  <c r="BD13" i="3" s="1"/>
  <c r="AO13" i="3"/>
  <c r="AP13" i="3" s="1"/>
  <c r="M11" i="3"/>
  <c r="N11" i="3" s="1"/>
  <c r="CE12" i="3"/>
  <c r="CF12" i="3" s="1"/>
  <c r="BP14" i="3"/>
  <c r="BN14" i="3" s="1"/>
  <c r="AA12" i="3"/>
  <c r="AB12" i="3" s="1"/>
  <c r="C10" i="4" l="1"/>
  <c r="AN14" i="3"/>
  <c r="AL14" i="3" s="1"/>
  <c r="AO14" i="3" s="1"/>
  <c r="AP14" i="3" s="1"/>
  <c r="CD13" i="3"/>
  <c r="CB13" i="3" s="1"/>
  <c r="CE13" i="3" s="1"/>
  <c r="CF13" i="3" s="1"/>
  <c r="L12" i="3"/>
  <c r="J12" i="3" s="1"/>
  <c r="BQ14" i="3"/>
  <c r="BR14" i="3" s="1"/>
  <c r="BB14" i="3"/>
  <c r="AZ14" i="3" s="1"/>
  <c r="Z13" i="3"/>
  <c r="X13" i="3" s="1"/>
  <c r="BP15" i="3" l="1"/>
  <c r="BN15" i="3" s="1"/>
  <c r="BQ15" i="3" s="1"/>
  <c r="BR15" i="3" s="1"/>
  <c r="AN15" i="3"/>
  <c r="AL15" i="3" s="1"/>
  <c r="AO15" i="3" s="1"/>
  <c r="AP15" i="3" s="1"/>
  <c r="AA13" i="3"/>
  <c r="AB13" i="3" s="1"/>
  <c r="CD14" i="3"/>
  <c r="CB14" i="3" s="1"/>
  <c r="M12" i="3"/>
  <c r="N12" i="3" s="1"/>
  <c r="C11" i="4" s="1"/>
  <c r="BC14" i="3"/>
  <c r="BD14" i="3" s="1"/>
  <c r="L13" i="3" l="1"/>
  <c r="J13" i="3" s="1"/>
  <c r="Z14" i="3"/>
  <c r="X14" i="3" s="1"/>
  <c r="AA14" i="3" s="1"/>
  <c r="AB14" i="3" s="1"/>
  <c r="AN16" i="3"/>
  <c r="AL16" i="3" s="1"/>
  <c r="CE14" i="3"/>
  <c r="CF14" i="3" s="1"/>
  <c r="BB15" i="3"/>
  <c r="AZ15" i="3" s="1"/>
  <c r="BP16" i="3"/>
  <c r="BN16" i="3" s="1"/>
  <c r="CD15" i="3" l="1"/>
  <c r="CB15" i="3" s="1"/>
  <c r="CE15" i="3" s="1"/>
  <c r="CF15" i="3" s="1"/>
  <c r="BQ16" i="3"/>
  <c r="BR16" i="3" s="1"/>
  <c r="AO16" i="3"/>
  <c r="AP16" i="3" s="1"/>
  <c r="BC15" i="3"/>
  <c r="BD15" i="3" s="1"/>
  <c r="Z15" i="3"/>
  <c r="X15" i="3" s="1"/>
  <c r="M13" i="3"/>
  <c r="N13" i="3" s="1"/>
  <c r="C12" i="4" s="1"/>
  <c r="BB16" i="3" l="1"/>
  <c r="AZ16" i="3" s="1"/>
  <c r="BC16" i="3" s="1"/>
  <c r="L14" i="3"/>
  <c r="J14" i="3" s="1"/>
  <c r="CD16" i="3"/>
  <c r="CB16" i="3" s="1"/>
  <c r="AN17" i="3"/>
  <c r="AL17" i="3" s="1"/>
  <c r="AA15" i="3"/>
  <c r="AB15" i="3" s="1"/>
  <c r="BP17" i="3"/>
  <c r="BN17" i="3" s="1"/>
  <c r="Z16" i="3" l="1"/>
  <c r="X16" i="3" s="1"/>
  <c r="AA16" i="3" s="1"/>
  <c r="AB16" i="3" s="1"/>
  <c r="BD16" i="3"/>
  <c r="BB17" i="3"/>
  <c r="AZ17" i="3" s="1"/>
  <c r="BC17" i="3" s="1"/>
  <c r="BD17" i="3" s="1"/>
  <c r="M14" i="3"/>
  <c r="N14" i="3" s="1"/>
  <c r="C13" i="4" s="1"/>
  <c r="AO17" i="3"/>
  <c r="AP17" i="3" s="1"/>
  <c r="CE16" i="3"/>
  <c r="CF16" i="3" s="1"/>
  <c r="BQ17" i="3"/>
  <c r="BR17" i="3" s="1"/>
  <c r="Z17" i="3" l="1"/>
  <c r="X17" i="3" s="1"/>
  <c r="AA17" i="3" s="1"/>
  <c r="AB17" i="3" s="1"/>
  <c r="BB18" i="3"/>
  <c r="AZ18" i="3" s="1"/>
  <c r="BC18" i="3" s="1"/>
  <c r="BD18" i="3" s="1"/>
  <c r="BP18" i="3"/>
  <c r="BN18" i="3" s="1"/>
  <c r="BQ18" i="3" s="1"/>
  <c r="BR18" i="3" s="1"/>
  <c r="L15" i="3"/>
  <c r="J15" i="3" s="1"/>
  <c r="M15" i="3" s="1"/>
  <c r="N15" i="3" s="1"/>
  <c r="C14" i="4" s="1"/>
  <c r="AN18" i="3"/>
  <c r="AL18" i="3" s="1"/>
  <c r="CD17" i="3"/>
  <c r="CB17" i="3" s="1"/>
  <c r="Z18" i="3" l="1"/>
  <c r="X18" i="3" s="1"/>
  <c r="BB19" i="3"/>
  <c r="AZ19" i="3" s="1"/>
  <c r="CE17" i="3"/>
  <c r="CF17" i="3" s="1"/>
  <c r="L16" i="3"/>
  <c r="J16" i="3" s="1"/>
  <c r="BP19" i="3"/>
  <c r="BN19" i="3" s="1"/>
  <c r="AO18" i="3"/>
  <c r="AP18" i="3" s="1"/>
  <c r="AN19" i="3" l="1"/>
  <c r="AL19" i="3" s="1"/>
  <c r="AO19" i="3" s="1"/>
  <c r="AP19" i="3" s="1"/>
  <c r="CD18" i="3"/>
  <c r="CB18" i="3" s="1"/>
  <c r="M16" i="3"/>
  <c r="N16" i="3" s="1"/>
  <c r="C15" i="4" s="1"/>
  <c r="BC19" i="3"/>
  <c r="BD19" i="3" s="1"/>
  <c r="BQ19" i="3"/>
  <c r="BR19" i="3" s="1"/>
  <c r="AA18" i="3"/>
  <c r="AB18" i="3" s="1"/>
  <c r="BB20" i="3" l="1"/>
  <c r="AZ20" i="3" s="1"/>
  <c r="BC20" i="3" s="1"/>
  <c r="BD20" i="3" s="1"/>
  <c r="BD33" i="3" s="1"/>
  <c r="L17" i="3"/>
  <c r="J17" i="3" s="1"/>
  <c r="Z19" i="3"/>
  <c r="X19" i="3" s="1"/>
  <c r="AN20" i="3"/>
  <c r="AL20" i="3" s="1"/>
  <c r="BP20" i="3"/>
  <c r="BN20" i="3" s="1"/>
  <c r="CE18" i="3"/>
  <c r="CF18" i="3" s="1"/>
  <c r="BB21" i="3" l="1"/>
  <c r="AZ21" i="3" s="1"/>
  <c r="BC21" i="3" s="1"/>
  <c r="BD21" i="3" s="1"/>
  <c r="CD19" i="3"/>
  <c r="CB19" i="3" s="1"/>
  <c r="CE19" i="3" s="1"/>
  <c r="CF19" i="3" s="1"/>
  <c r="AO20" i="3"/>
  <c r="AP20" i="3" s="1"/>
  <c r="AP33" i="3" s="1"/>
  <c r="AA19" i="3"/>
  <c r="AB19" i="3" s="1"/>
  <c r="BQ20" i="3"/>
  <c r="BR20" i="3" s="1"/>
  <c r="BR33" i="3" s="1"/>
  <c r="M17" i="3"/>
  <c r="N17" i="3" s="1"/>
  <c r="C16" i="4" s="1"/>
  <c r="CD20" i="3" l="1"/>
  <c r="CB20" i="3" s="1"/>
  <c r="CE20" i="3" s="1"/>
  <c r="CF20" i="3" s="1"/>
  <c r="CF33" i="3" s="1"/>
  <c r="AN21" i="3"/>
  <c r="AL21" i="3" s="1"/>
  <c r="BP21" i="3"/>
  <c r="BN21" i="3" s="1"/>
  <c r="BQ21" i="3" s="1"/>
  <c r="BR21" i="3" s="1"/>
  <c r="BB22" i="3"/>
  <c r="AZ22" i="3" s="1"/>
  <c r="L18" i="3"/>
  <c r="J18" i="3" s="1"/>
  <c r="Z20" i="3"/>
  <c r="X20" i="3" s="1"/>
  <c r="AO21" i="3" l="1"/>
  <c r="AP21" i="3" s="1"/>
  <c r="AA20" i="3"/>
  <c r="AB20" i="3" s="1"/>
  <c r="AB33" i="3" s="1"/>
  <c r="BP22" i="3"/>
  <c r="BN22" i="3" s="1"/>
  <c r="CD21" i="3"/>
  <c r="CB21" i="3" s="1"/>
  <c r="M18" i="3"/>
  <c r="N18" i="3" s="1"/>
  <c r="C17" i="4" s="1"/>
  <c r="BC22" i="3"/>
  <c r="BD22" i="3" s="1"/>
  <c r="AN22" i="3" l="1"/>
  <c r="AL22" i="3" s="1"/>
  <c r="AO22" i="3" s="1"/>
  <c r="AP22" i="3" s="1"/>
  <c r="BB23" i="3"/>
  <c r="AZ23" i="3" s="1"/>
  <c r="BC23" i="3" s="1"/>
  <c r="BD23" i="3" s="1"/>
  <c r="BQ22" i="3"/>
  <c r="BR22" i="3" s="1"/>
  <c r="CE21" i="3"/>
  <c r="CF21" i="3" s="1"/>
  <c r="Z21" i="3"/>
  <c r="X21" i="3" s="1"/>
  <c r="L19" i="3"/>
  <c r="J19" i="3" s="1"/>
  <c r="AN23" i="3" l="1"/>
  <c r="AL23" i="3" s="1"/>
  <c r="AO23" i="3" s="1"/>
  <c r="AP23" i="3" s="1"/>
  <c r="CD22" i="3"/>
  <c r="CB22" i="3" s="1"/>
  <c r="CE22" i="3" s="1"/>
  <c r="CF22" i="3" s="1"/>
  <c r="AA21" i="3"/>
  <c r="AB21" i="3" s="1"/>
  <c r="BB24" i="3"/>
  <c r="AZ24" i="3" s="1"/>
  <c r="M19" i="3"/>
  <c r="N19" i="3" s="1"/>
  <c r="C18" i="4" s="1"/>
  <c r="BP23" i="3"/>
  <c r="BN23" i="3" s="1"/>
  <c r="L20" i="3" l="1"/>
  <c r="J20" i="3" s="1"/>
  <c r="M20" i="3" s="1"/>
  <c r="N20" i="3" s="1"/>
  <c r="AN24" i="3"/>
  <c r="AL24" i="3" s="1"/>
  <c r="AO24" i="3" s="1"/>
  <c r="AP24" i="3" s="1"/>
  <c r="Z22" i="3"/>
  <c r="X22" i="3" s="1"/>
  <c r="AA22" i="3" s="1"/>
  <c r="AB22" i="3" s="1"/>
  <c r="BC24" i="3"/>
  <c r="BD24" i="3" s="1"/>
  <c r="CD23" i="3"/>
  <c r="CB23" i="3" s="1"/>
  <c r="BQ23" i="3"/>
  <c r="BR23" i="3" s="1"/>
  <c r="C19" i="4" l="1"/>
  <c r="N33" i="3"/>
  <c r="B19" i="2" s="1"/>
  <c r="B21" i="2" s="1"/>
  <c r="B36" i="2" s="1"/>
  <c r="AN25" i="3"/>
  <c r="AL25" i="3" s="1"/>
  <c r="AO25" i="3" s="1"/>
  <c r="AP25" i="3" s="1"/>
  <c r="BP24" i="3"/>
  <c r="BN24" i="3" s="1"/>
  <c r="BQ24" i="3" s="1"/>
  <c r="BR24" i="3" s="1"/>
  <c r="Z23" i="3"/>
  <c r="X23" i="3" s="1"/>
  <c r="L21" i="3"/>
  <c r="J21" i="3" s="1"/>
  <c r="CE23" i="3"/>
  <c r="CF23" i="3" s="1"/>
  <c r="BB25" i="3"/>
  <c r="AZ25" i="3" s="1"/>
  <c r="BP25" i="3" l="1"/>
  <c r="BN25" i="3" s="1"/>
  <c r="AA23" i="3"/>
  <c r="AB23" i="3" s="1"/>
  <c r="CD24" i="3"/>
  <c r="CB24" i="3" s="1"/>
  <c r="M21" i="3"/>
  <c r="N21" i="3" s="1"/>
  <c r="C20" i="4" s="1"/>
  <c r="BC25" i="3"/>
  <c r="BD25" i="3" s="1"/>
  <c r="AN26" i="3"/>
  <c r="AL26" i="3" s="1"/>
  <c r="BB26" i="3" l="1"/>
  <c r="AZ26" i="3" s="1"/>
  <c r="BC26" i="3" s="1"/>
  <c r="BD26" i="3" s="1"/>
  <c r="Z24" i="3"/>
  <c r="X24" i="3" s="1"/>
  <c r="AA24" i="3" s="1"/>
  <c r="AB24" i="3" s="1"/>
  <c r="CE24" i="3"/>
  <c r="CF24" i="3" s="1"/>
  <c r="L22" i="3"/>
  <c r="J22" i="3" s="1"/>
  <c r="AO26" i="3"/>
  <c r="AP26" i="3" s="1"/>
  <c r="BQ25" i="3"/>
  <c r="BR25" i="3" s="1"/>
  <c r="AN27" i="3" l="1"/>
  <c r="AL27" i="3" s="1"/>
  <c r="AO27" i="3" s="1"/>
  <c r="AP27" i="3" s="1"/>
  <c r="Z25" i="3"/>
  <c r="X25" i="3" s="1"/>
  <c r="M22" i="3"/>
  <c r="N22" i="3" s="1"/>
  <c r="C21" i="4" s="1"/>
  <c r="BB27" i="3"/>
  <c r="AZ27" i="3" s="1"/>
  <c r="BP26" i="3"/>
  <c r="BN26" i="3" s="1"/>
  <c r="CD25" i="3"/>
  <c r="CB25" i="3" s="1"/>
  <c r="AN28" i="3" l="1"/>
  <c r="AL28" i="3" s="1"/>
  <c r="AO28" i="3" s="1"/>
  <c r="AP28" i="3" s="1"/>
  <c r="BQ26" i="3"/>
  <c r="BR26" i="3" s="1"/>
  <c r="CE25" i="3"/>
  <c r="CF25" i="3" s="1"/>
  <c r="AA25" i="3"/>
  <c r="AB25" i="3" s="1"/>
  <c r="BC27" i="3"/>
  <c r="BD27" i="3" s="1"/>
  <c r="L23" i="3"/>
  <c r="J23" i="3" s="1"/>
  <c r="Z26" i="3" l="1"/>
  <c r="X26" i="3" s="1"/>
  <c r="CD26" i="3"/>
  <c r="CB26" i="3" s="1"/>
  <c r="AN29" i="3"/>
  <c r="AL29" i="3" s="1"/>
  <c r="M23" i="3"/>
  <c r="N23" i="3" s="1"/>
  <c r="C22" i="4" s="1"/>
  <c r="BB28" i="3"/>
  <c r="AZ28" i="3" s="1"/>
  <c r="BP27" i="3"/>
  <c r="BN27" i="3" s="1"/>
  <c r="AO29" i="3" l="1"/>
  <c r="AP29" i="3" s="1"/>
  <c r="BQ27" i="3"/>
  <c r="BR27" i="3" s="1"/>
  <c r="BC28" i="3"/>
  <c r="BD28" i="3" s="1"/>
  <c r="L24" i="3"/>
  <c r="J24" i="3" s="1"/>
  <c r="CE26" i="3"/>
  <c r="CF26" i="3" s="1"/>
  <c r="AA26" i="3"/>
  <c r="AB26" i="3" s="1"/>
  <c r="M24" i="3" l="1"/>
  <c r="N24" i="3" s="1"/>
  <c r="C23" i="4" s="1"/>
  <c r="BB29" i="3"/>
  <c r="AZ29" i="3" s="1"/>
  <c r="Z27" i="3"/>
  <c r="X27" i="3" s="1"/>
  <c r="BP28" i="3"/>
  <c r="BN28" i="3" s="1"/>
  <c r="CD27" i="3"/>
  <c r="CB27" i="3" s="1"/>
  <c r="AN30" i="3"/>
  <c r="AL30" i="3" s="1"/>
  <c r="BQ28" i="3" l="1"/>
  <c r="BR28" i="3" s="1"/>
  <c r="AO30" i="3"/>
  <c r="AP30" i="3" s="1"/>
  <c r="AA27" i="3"/>
  <c r="AB27" i="3" s="1"/>
  <c r="CE27" i="3"/>
  <c r="CF27" i="3" s="1"/>
  <c r="BC29" i="3"/>
  <c r="BD29" i="3" s="1"/>
  <c r="L25" i="3"/>
  <c r="J25" i="3" s="1"/>
  <c r="BP29" i="3" l="1"/>
  <c r="BN29" i="3" s="1"/>
  <c r="BQ29" i="3" s="1"/>
  <c r="BR29" i="3" s="1"/>
  <c r="CD28" i="3"/>
  <c r="CB28" i="3" s="1"/>
  <c r="Z28" i="3"/>
  <c r="X28" i="3" s="1"/>
  <c r="M25" i="3"/>
  <c r="N25" i="3" s="1"/>
  <c r="C24" i="4" s="1"/>
  <c r="AN31" i="3"/>
  <c r="AL31" i="3" s="1"/>
  <c r="BB30" i="3"/>
  <c r="AZ30" i="3" s="1"/>
  <c r="L26" i="3" l="1"/>
  <c r="J26" i="3" s="1"/>
  <c r="BC30" i="3"/>
  <c r="BD30" i="3" s="1"/>
  <c r="BP30" i="3"/>
  <c r="BN30" i="3" s="1"/>
  <c r="AA28" i="3"/>
  <c r="AB28" i="3" s="1"/>
  <c r="AO31" i="3"/>
  <c r="AP31" i="3" s="1"/>
  <c r="CE28" i="3"/>
  <c r="CF28" i="3" s="1"/>
  <c r="BB31" i="3" l="1"/>
  <c r="AZ31" i="3" s="1"/>
  <c r="BC31" i="3" s="1"/>
  <c r="BD31" i="3" s="1"/>
  <c r="BQ30" i="3"/>
  <c r="BR30" i="3" s="1"/>
  <c r="AN32" i="3"/>
  <c r="AL32" i="3" s="1"/>
  <c r="AO32" i="3" s="1"/>
  <c r="AP32" i="3" s="1"/>
  <c r="Z29" i="3"/>
  <c r="X29" i="3" s="1"/>
  <c r="CD29" i="3"/>
  <c r="CB29" i="3" s="1"/>
  <c r="M26" i="3"/>
  <c r="N26" i="3" s="1"/>
  <c r="C25" i="4" s="1"/>
  <c r="L27" i="3" l="1"/>
  <c r="J27" i="3" s="1"/>
  <c r="M27" i="3" s="1"/>
  <c r="N27" i="3" s="1"/>
  <c r="C26" i="4" s="1"/>
  <c r="AA29" i="3"/>
  <c r="AB29" i="3" s="1"/>
  <c r="BP31" i="3"/>
  <c r="BN31" i="3" s="1"/>
  <c r="CE29" i="3"/>
  <c r="CF29" i="3" s="1"/>
  <c r="BB32" i="3"/>
  <c r="AZ32" i="3" s="1"/>
  <c r="BC32" i="3" s="1"/>
  <c r="BD32" i="3" s="1"/>
  <c r="Z30" i="3" l="1"/>
  <c r="X30" i="3" s="1"/>
  <c r="AA30" i="3" s="1"/>
  <c r="AB30" i="3" s="1"/>
  <c r="CD30" i="3"/>
  <c r="CB30" i="3" s="1"/>
  <c r="CE30" i="3" s="1"/>
  <c r="CF30" i="3" s="1"/>
  <c r="L28" i="3"/>
  <c r="J28" i="3" s="1"/>
  <c r="M28" i="3" s="1"/>
  <c r="N28" i="3" s="1"/>
  <c r="C27" i="4" s="1"/>
  <c r="BQ31" i="3"/>
  <c r="BR31" i="3" s="1"/>
  <c r="BP32" i="3" l="1"/>
  <c r="BN32" i="3" s="1"/>
  <c r="BQ32" i="3" s="1"/>
  <c r="BR32" i="3" s="1"/>
  <c r="L29" i="3"/>
  <c r="J29" i="3" s="1"/>
  <c r="Z31" i="3"/>
  <c r="X31" i="3" s="1"/>
  <c r="CD31" i="3"/>
  <c r="CB31" i="3" s="1"/>
  <c r="M29" i="3" l="1"/>
  <c r="N29" i="3" s="1"/>
  <c r="C28" i="4" s="1"/>
  <c r="CE31" i="3"/>
  <c r="CF31" i="3" s="1"/>
  <c r="AA31" i="3"/>
  <c r="AB31" i="3" s="1"/>
  <c r="L30" i="3" l="1"/>
  <c r="J30" i="3" s="1"/>
  <c r="M30" i="3" s="1"/>
  <c r="N30" i="3" s="1"/>
  <c r="C29" i="4" s="1"/>
  <c r="Z32" i="3"/>
  <c r="X32" i="3" s="1"/>
  <c r="AA32" i="3" s="1"/>
  <c r="AB32" i="3" s="1"/>
  <c r="CD32" i="3"/>
  <c r="CB32" i="3" s="1"/>
  <c r="CE32" i="3" s="1"/>
  <c r="CF32" i="3" s="1"/>
  <c r="L31" i="3" l="1"/>
  <c r="J31" i="3" s="1"/>
  <c r="M31" i="3" s="1"/>
  <c r="N31" i="3" s="1"/>
  <c r="C30" i="4" s="1"/>
  <c r="L32" i="3" l="1"/>
  <c r="J32" i="3" s="1"/>
  <c r="M32" i="3" s="1"/>
  <c r="N32" i="3" s="1"/>
  <c r="C31" i="4" s="1"/>
  <c r="B12" i="2"/>
  <c r="C32" i="4" l="1"/>
  <c r="C38" i="4" s="1"/>
  <c r="G37" i="4" s="1"/>
  <c r="C49" i="4" l="1"/>
  <c r="C50" i="4" s="1"/>
  <c r="C51" i="4" s="1"/>
  <c r="C52" i="4" s="1"/>
  <c r="G95" i="5" s="1"/>
  <c r="G50" i="4"/>
  <c r="G51" i="4" s="1"/>
  <c r="G52" i="4" s="1"/>
  <c r="G96" i="5" s="1"/>
  <c r="G97" i="5" l="1"/>
  <c r="G99" i="5"/>
  <c r="F21" i="2"/>
  <c r="F73" i="2" l="1"/>
  <c r="F75" i="2" s="1"/>
  <c r="C12" i="5"/>
  <c r="C11" i="5"/>
  <c r="F65" i="2"/>
  <c r="F67" i="2" s="1"/>
  <c r="F57" i="2"/>
  <c r="F59" i="2" s="1"/>
  <c r="F3" i="2" s="1"/>
  <c r="C1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Yu, Guo@ARB</author>
  </authors>
  <commentList>
    <comment ref="A2" authorId="0" shapeId="0" xr:uid="{75A78339-7631-4483-B2C8-6F812F2CEE69}">
      <text>
        <r>
          <rPr>
            <b/>
            <sz val="9"/>
            <color indexed="81"/>
            <rFont val="Tahoma"/>
            <family val="2"/>
          </rPr>
          <t xml:space="preserve">CARB:
</t>
        </r>
        <r>
          <rPr>
            <sz val="9"/>
            <color indexed="81"/>
            <rFont val="Tahoma"/>
            <family val="2"/>
          </rPr>
          <t xml:space="preserve">Please enter the fuel pathway application number here.
</t>
        </r>
      </text>
    </comment>
    <comment ref="B5" authorId="0" shapeId="0" xr:uid="{36470D00-71D4-4954-98FE-7C36794F2512}">
      <text>
        <r>
          <rPr>
            <b/>
            <sz val="9"/>
            <color indexed="81"/>
            <rFont val="Tahoma"/>
            <family val="2"/>
          </rPr>
          <t xml:space="preserve">CARB:
</t>
        </r>
        <r>
          <rPr>
            <sz val="9"/>
            <color indexed="81"/>
            <rFont val="Tahoma"/>
            <family val="2"/>
          </rPr>
          <t>The pathway description in this cell is populated by CARB staff only.</t>
        </r>
        <r>
          <rPr>
            <sz val="9"/>
            <color indexed="81"/>
            <rFont val="Tahoma"/>
            <family val="2"/>
          </rPr>
          <t xml:space="preserve">
</t>
        </r>
      </text>
    </comment>
    <comment ref="B52" authorId="0" shapeId="0" xr:uid="{C8F7363D-7E59-4257-A576-FB9605EA93A2}">
      <text>
        <r>
          <rPr>
            <b/>
            <sz val="9"/>
            <color indexed="81"/>
            <rFont val="Tahoma"/>
            <family val="2"/>
          </rPr>
          <t xml:space="preserve">CARB:
</t>
        </r>
        <r>
          <rPr>
            <sz val="9"/>
            <color indexed="81"/>
            <rFont val="Tahoma"/>
            <family val="2"/>
          </rPr>
          <t xml:space="preserve">Fuel for Biomethane transport is included in the Energy Return on Investment calculation.
</t>
        </r>
      </text>
    </comment>
    <comment ref="B53" authorId="0" shapeId="0" xr:uid="{00686EEF-F3FF-4A58-9DDC-EDCD0418DE28}">
      <text>
        <r>
          <rPr>
            <b/>
            <sz val="9"/>
            <color indexed="81"/>
            <rFont val="Tahoma"/>
            <family val="2"/>
          </rPr>
          <t xml:space="preserve">CARB:
</t>
        </r>
        <r>
          <rPr>
            <sz val="9"/>
            <color indexed="81"/>
            <rFont val="Tahoma"/>
            <family val="2"/>
          </rPr>
          <t>NG used to boost Btu before injection is included in the Energy Return on Investment calculation.</t>
        </r>
      </text>
    </comment>
    <comment ref="B54" authorId="0" shapeId="0" xr:uid="{7574817D-5EA4-422F-8AD1-D3AB951D4B54}">
      <text>
        <r>
          <rPr>
            <b/>
            <sz val="9"/>
            <color indexed="81"/>
            <rFont val="Tahoma"/>
            <family val="2"/>
          </rPr>
          <t xml:space="preserve">CARB:
</t>
        </r>
        <r>
          <rPr>
            <sz val="9"/>
            <color indexed="81"/>
            <rFont val="Tahoma"/>
            <family val="2"/>
          </rPr>
          <t xml:space="preserve">Propane used to boost Btu before injection is included in the Energy Return on Investment calculation.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Rui Chen</author>
    <author>Yu, Guo@ARB</author>
  </authors>
  <commentList>
    <comment ref="I6" authorId="0" shapeId="0" xr:uid="{E1457360-5B13-45B2-81E1-79A776BC96C1}">
      <text>
        <r>
          <rPr>
            <b/>
            <sz val="9"/>
            <color indexed="81"/>
            <rFont val="Tahoma"/>
            <family val="2"/>
          </rPr>
          <t>CARB:</t>
        </r>
        <r>
          <rPr>
            <sz val="9"/>
            <color indexed="81"/>
            <rFont val="Tahoma"/>
            <family val="2"/>
          </rPr>
          <t xml:space="preserve">
The fraction of volatile solids sent to each anaerobic storage/treatment system for each livestock category represents the percent of manure that would be sent to (managed by) the anaerobic manure storage/treatment systems, taking into account any volatile solids removed by solid separation equipment, in the project baseline case, as if the BCS was never installed. Site-specific data must be used if available. If site-specific data is unavailable, values from Table A.9 (see Reference tab) can be used to calculate this value.</t>
        </r>
      </text>
    </comment>
    <comment ref="K6" authorId="1" shapeId="0" xr:uid="{6C3DCE73-83FE-4476-ADA5-A4078166BE9B}">
      <text>
        <r>
          <rPr>
            <b/>
            <sz val="9"/>
            <color indexed="81"/>
            <rFont val="Tahoma"/>
            <family val="2"/>
          </rPr>
          <t>CARB:</t>
        </r>
        <r>
          <rPr>
            <sz val="9"/>
            <color indexed="81"/>
            <rFont val="Tahoma"/>
            <family val="2"/>
          </rPr>
          <t xml:space="preserve">
Annual cleanout in September every year is required. Please see the instruction manual of the calculator for more details.</t>
        </r>
      </text>
    </comment>
    <comment ref="W6" authorId="0" shapeId="0" xr:uid="{1993FDDA-B7D3-4FB3-A3C5-251E53277F29}">
      <text>
        <r>
          <rPr>
            <b/>
            <sz val="9"/>
            <color indexed="81"/>
            <rFont val="Tahoma"/>
            <family val="2"/>
          </rPr>
          <t>CARB:</t>
        </r>
        <r>
          <rPr>
            <sz val="9"/>
            <color indexed="81"/>
            <rFont val="Tahoma"/>
            <family val="2"/>
          </rPr>
          <t xml:space="preserve">
The fraction of volatile solids sent to each anaerobic storage/treatment system for each livestock category represents the percent of manure that would be sent to (managed by) the anaerobic manure storage/treatment systems, taking into account any volatile solids removed by solid separation equipment, in the project baseline case, as if the BCS was never installed. Site-specific data must be used if available. If site-specific data is unavailable, values from Table A.9 (see Reference tab) can be used to calculate this value.</t>
        </r>
      </text>
    </comment>
    <comment ref="Y6" authorId="1" shapeId="0" xr:uid="{E96F0BFA-098C-404F-A587-A3A9E498C50D}">
      <text>
        <r>
          <rPr>
            <b/>
            <sz val="9"/>
            <color indexed="81"/>
            <rFont val="Tahoma"/>
            <family val="2"/>
          </rPr>
          <t xml:space="preserve">CARB:
</t>
        </r>
        <r>
          <rPr>
            <sz val="9"/>
            <color indexed="81"/>
            <rFont val="Tahoma"/>
            <family val="2"/>
          </rPr>
          <t>Annual cleanout in September every year is required. Please see the instruction manual of the calculator for more details.</t>
        </r>
      </text>
    </comment>
    <comment ref="AK6" authorId="0" shapeId="0" xr:uid="{4016D8AE-5736-4A13-8FBC-635F61CEE88C}">
      <text>
        <r>
          <rPr>
            <b/>
            <sz val="9"/>
            <color indexed="81"/>
            <rFont val="Tahoma"/>
            <family val="2"/>
          </rPr>
          <t>CARB:</t>
        </r>
        <r>
          <rPr>
            <sz val="9"/>
            <color indexed="81"/>
            <rFont val="Tahoma"/>
            <family val="2"/>
          </rPr>
          <t xml:space="preserve">
The fraction of volatile solids sent to each anaerobic storage/treatment system for each livestock category represents the percent of manure that would be sent to (managed by) the anaerobic manure storage/treatment systems, taking into account any volatile solids removed by solid separation equipment, in the project baseline case, as if the BCS was never installed. Site-specific data must be used if available. If site-specific data is unavailable, values from Table A.9 (see Reference tab) can be used to calculate this value.</t>
        </r>
      </text>
    </comment>
    <comment ref="AM6" authorId="1" shapeId="0" xr:uid="{398EA064-6354-4480-9BF1-BD9AC99602FF}">
      <text>
        <r>
          <rPr>
            <b/>
            <sz val="9"/>
            <color indexed="81"/>
            <rFont val="Tahoma"/>
            <family val="2"/>
          </rPr>
          <t xml:space="preserve">CARB:
</t>
        </r>
        <r>
          <rPr>
            <sz val="9"/>
            <color indexed="81"/>
            <rFont val="Tahoma"/>
            <family val="2"/>
          </rPr>
          <t>Annual cleanout in September every year is required. Please see the instruction manual of the calculator for more details.</t>
        </r>
      </text>
    </comment>
    <comment ref="AY6" authorId="0" shapeId="0" xr:uid="{767BEE54-5E74-423B-B724-B8B490E8AAE4}">
      <text>
        <r>
          <rPr>
            <b/>
            <sz val="9"/>
            <color indexed="81"/>
            <rFont val="Tahoma"/>
            <family val="2"/>
          </rPr>
          <t>CARB:</t>
        </r>
        <r>
          <rPr>
            <sz val="9"/>
            <color indexed="81"/>
            <rFont val="Tahoma"/>
            <family val="2"/>
          </rPr>
          <t xml:space="preserve">
The fraction of volatile solids sent to each anaerobic storage/treatment system for each livestock category represents the percent of manure that would be sent to (managed by) the anaerobic manure storage/treatment systems, taking into account any volatile solids removed by solid separation equipment, in the project baseline case, as if the BCS was never installed. Site-specific data must be used if available. If site-specific data is unavailable, values from Table A.9 (see Reference tab) can be used to calculate this value.</t>
        </r>
      </text>
    </comment>
    <comment ref="BA6" authorId="1" shapeId="0" xr:uid="{CD3E1457-E88D-4EC7-B3EC-45278DB3063F}">
      <text>
        <r>
          <rPr>
            <b/>
            <sz val="9"/>
            <color indexed="81"/>
            <rFont val="Tahoma"/>
            <family val="2"/>
          </rPr>
          <t xml:space="preserve">CARB:
</t>
        </r>
        <r>
          <rPr>
            <sz val="9"/>
            <color indexed="81"/>
            <rFont val="Tahoma"/>
            <family val="2"/>
          </rPr>
          <t>Annual cleanout in September every year is required. Please see the instruction manual of the calculator for more details.</t>
        </r>
      </text>
    </comment>
    <comment ref="BM6" authorId="0" shapeId="0" xr:uid="{2A04856D-BB65-4012-9E83-BFCAB364401D}">
      <text>
        <r>
          <rPr>
            <b/>
            <sz val="9"/>
            <color indexed="81"/>
            <rFont val="Tahoma"/>
            <family val="2"/>
          </rPr>
          <t>CARB:</t>
        </r>
        <r>
          <rPr>
            <sz val="9"/>
            <color indexed="81"/>
            <rFont val="Tahoma"/>
            <family val="2"/>
          </rPr>
          <t xml:space="preserve">
The fraction of volatile solids sent to each anaerobic storage/treatment system for each livestock category represents the percent of manure that would be sent to (managed by) the anaerobic manure storage/treatment systems, taking into account any volatile solids removed by solid separation equipment, in the project baseline case, as if the BCS was never installed. Site-specific data must be used if available. If site-specific data is unavailable, values from Table A.9 (see Reference tab) can be used to calculate this value.</t>
        </r>
      </text>
    </comment>
    <comment ref="BO6" authorId="1" shapeId="0" xr:uid="{F009BC32-F399-4A09-BC13-3821500F1138}">
      <text>
        <r>
          <rPr>
            <b/>
            <sz val="9"/>
            <color indexed="81"/>
            <rFont val="Tahoma"/>
            <family val="2"/>
          </rPr>
          <t xml:space="preserve">CARB:
</t>
        </r>
        <r>
          <rPr>
            <sz val="9"/>
            <color indexed="81"/>
            <rFont val="Tahoma"/>
            <family val="2"/>
          </rPr>
          <t>Annual cleanout in September every year is required. Please see the instruction manual of the calculator for more details.</t>
        </r>
      </text>
    </comment>
    <comment ref="CA6" authorId="0" shapeId="0" xr:uid="{2DC1D664-AB07-44C2-8369-ABAD5D2E098B}">
      <text>
        <r>
          <rPr>
            <b/>
            <sz val="9"/>
            <color indexed="81"/>
            <rFont val="Tahoma"/>
            <family val="2"/>
          </rPr>
          <t>CARB:</t>
        </r>
        <r>
          <rPr>
            <sz val="9"/>
            <color indexed="81"/>
            <rFont val="Tahoma"/>
            <family val="2"/>
          </rPr>
          <t xml:space="preserve">
The fraction of volatile solids sent to each anaerobic storage/treatment system for each livestock category represents the percent of manure that would be sent to (managed by) the anaerobic manure storage/treatment systems, taking into account any volatile solids removed by solid separation equipment, in the project baseline case, as if the BCS was never installed. Site-specific data must be used if available. If site-specific data is unavailable, values from Table A.9 (see Reference tab) can be used to calculate this value.</t>
        </r>
      </text>
    </comment>
    <comment ref="CC6" authorId="1" shapeId="0" xr:uid="{E1FE22B3-6CDE-42F6-9523-95E20F836017}">
      <text>
        <r>
          <rPr>
            <b/>
            <sz val="9"/>
            <color indexed="81"/>
            <rFont val="Tahoma"/>
            <family val="2"/>
          </rPr>
          <t xml:space="preserve">CARB:
</t>
        </r>
        <r>
          <rPr>
            <sz val="9"/>
            <color indexed="81"/>
            <rFont val="Tahoma"/>
            <family val="2"/>
          </rPr>
          <t>Annual cleanout in September every year is required. Please see the instruction manual of the calculator for more details.</t>
        </r>
      </text>
    </comment>
    <comment ref="B7" authorId="0" shapeId="0" xr:uid="{969335D3-E90C-435C-BF3F-4AB8096D894E}">
      <text>
        <r>
          <rPr>
            <b/>
            <sz val="9"/>
            <color indexed="81"/>
            <rFont val="Tahoma"/>
            <family val="2"/>
          </rPr>
          <t>CARB:</t>
        </r>
        <r>
          <rPr>
            <sz val="9"/>
            <color indexed="81"/>
            <rFont val="Tahoma"/>
            <family val="2"/>
          </rPr>
          <t xml:space="preserve">
Only livestock categories listed here (dairy cattle and swine) are eligible for the avoided emissions credit.</t>
        </r>
      </text>
    </comment>
    <comment ref="P7" authorId="0" shapeId="0" xr:uid="{B6C77E35-45EA-4263-8296-7BEB1E281B90}">
      <text>
        <r>
          <rPr>
            <b/>
            <sz val="9"/>
            <color indexed="81"/>
            <rFont val="Tahoma"/>
            <family val="2"/>
          </rPr>
          <t>CARB:</t>
        </r>
        <r>
          <rPr>
            <sz val="9"/>
            <color indexed="81"/>
            <rFont val="Tahoma"/>
            <family val="2"/>
          </rPr>
          <t xml:space="preserve">
Only livestock categories listed here (dairy cattle and swine) are eligible for the avoided emissions credit.</t>
        </r>
      </text>
    </comment>
    <comment ref="AD7" authorId="0" shapeId="0" xr:uid="{AA12473B-ECD2-4C15-9156-2DB69AB90601}">
      <text>
        <r>
          <rPr>
            <b/>
            <sz val="9"/>
            <color indexed="81"/>
            <rFont val="Tahoma"/>
            <family val="2"/>
          </rPr>
          <t>CARB:</t>
        </r>
        <r>
          <rPr>
            <sz val="9"/>
            <color indexed="81"/>
            <rFont val="Tahoma"/>
            <family val="2"/>
          </rPr>
          <t xml:space="preserve">
Only livestock categories listed here (dairy cattle and swine) are eligible for the avoided emissions credit.</t>
        </r>
      </text>
    </comment>
    <comment ref="AR7" authorId="0" shapeId="0" xr:uid="{8CC6AC75-C5B5-4006-9910-8B4DBF31217D}">
      <text>
        <r>
          <rPr>
            <b/>
            <sz val="9"/>
            <color indexed="81"/>
            <rFont val="Tahoma"/>
            <family val="2"/>
          </rPr>
          <t>CARB:</t>
        </r>
        <r>
          <rPr>
            <sz val="9"/>
            <color indexed="81"/>
            <rFont val="Tahoma"/>
            <family val="2"/>
          </rPr>
          <t xml:space="preserve">
Only livestock categories listed here (dairy cattle and swine) are eligible for the avoided emissions credit.</t>
        </r>
      </text>
    </comment>
    <comment ref="BF7" authorId="0" shapeId="0" xr:uid="{F6B39F0F-89A0-470D-909F-6F6363D8806C}">
      <text>
        <r>
          <rPr>
            <b/>
            <sz val="9"/>
            <color indexed="81"/>
            <rFont val="Tahoma"/>
            <family val="2"/>
          </rPr>
          <t>CARB:</t>
        </r>
        <r>
          <rPr>
            <sz val="9"/>
            <color indexed="81"/>
            <rFont val="Tahoma"/>
            <family val="2"/>
          </rPr>
          <t xml:space="preserve">
Only livestock categories listed here (dairy cattle and swine) are eligible for the avoided emissions credit.</t>
        </r>
      </text>
    </comment>
    <comment ref="BT7" authorId="0" shapeId="0" xr:uid="{3E764B94-FAAB-4229-8BE2-E5D48DBF7A76}">
      <text>
        <r>
          <rPr>
            <b/>
            <sz val="9"/>
            <color indexed="81"/>
            <rFont val="Tahoma"/>
            <family val="2"/>
          </rPr>
          <t>CARB:</t>
        </r>
        <r>
          <rPr>
            <sz val="9"/>
            <color indexed="81"/>
            <rFont val="Tahoma"/>
            <family val="2"/>
          </rPr>
          <t xml:space="preserve">
Only livestock categories listed here (dairy cattle and swine) are eligible for the avoided emissions credit.</t>
        </r>
      </text>
    </comment>
    <comment ref="B51" authorId="1" shapeId="0" xr:uid="{EEAF7E83-559E-4F42-8553-C7D79684B560}">
      <text>
        <r>
          <rPr>
            <b/>
            <sz val="9"/>
            <color indexed="81"/>
            <rFont val="Tahoma"/>
            <family val="2"/>
          </rPr>
          <t>CARB:</t>
        </r>
        <r>
          <rPr>
            <sz val="9"/>
            <color indexed="81"/>
            <rFont val="Tahoma"/>
            <family val="2"/>
          </rPr>
          <t xml:space="preserve">
This reflects the Project reporting month, which should be input in Field 2.3 in "Biogas-to-RNG" worksheet.</t>
        </r>
      </text>
    </comment>
    <comment ref="I51" authorId="1" shapeId="0" xr:uid="{8F71809F-055F-4D0C-9F10-D949E56AC11C}">
      <text>
        <r>
          <rPr>
            <b/>
            <sz val="9"/>
            <color indexed="81"/>
            <rFont val="Tahoma"/>
            <family val="2"/>
          </rPr>
          <t xml:space="preserve">CARB:
</t>
        </r>
        <r>
          <rPr>
            <sz val="9"/>
            <color indexed="81"/>
            <rFont val="Tahoma"/>
            <family val="2"/>
          </rPr>
          <t xml:space="preserve">
Methane emissions from the vented biogas can be calculated by using two methods: 
Method 1: Estimation based on the Equation 5.6 in LOP (Fields L3.2~L3.5); 
Method 2: Calculation based on metering data (Fields L3.6 &amp; L3.7). 
Applicant can populate data either in Fields L3.2~L3.5, or in Fields L3.6~L3.7 depending on the data availability for the venting event. 
Density of CH4: 0.0423 lbs/scf
Mass conversion factor: 0.000454 MT/lb
</t>
        </r>
      </text>
    </comment>
    <comment ref="F82" authorId="0" shapeId="0" xr:uid="{152A0F31-5231-4EB3-B2C1-88394F4F1482}">
      <text>
        <r>
          <rPr>
            <b/>
            <sz val="9"/>
            <color indexed="81"/>
            <rFont val="Tahoma"/>
            <family val="2"/>
          </rPr>
          <t xml:space="preserve">CARB:
</t>
        </r>
        <r>
          <rPr>
            <sz val="9"/>
            <color indexed="81"/>
            <rFont val="Tahoma"/>
            <family val="2"/>
          </rPr>
          <t xml:space="preserve">
The fraction of volatile solids sent to the BCS for each livestock
category represents the fraction of manure that was sent to (managed by) the BCS, taking into account any volatile solids removed by solid separation equipment. Site-specific data must be used if available. . If site-specific data is unavailable, values from Table A.9 (see Reference tab) can be used to calculate this value.</t>
        </r>
      </text>
    </comment>
    <comment ref="H82" authorId="1" shapeId="0" xr:uid="{AD605A00-0E76-4B5E-9383-4F622177342D}">
      <text>
        <r>
          <rPr>
            <b/>
            <sz val="9"/>
            <color indexed="81"/>
            <rFont val="Tahoma"/>
            <family val="2"/>
          </rPr>
          <t xml:space="preserve">CARB:
</t>
        </r>
        <r>
          <rPr>
            <sz val="9"/>
            <color indexed="81"/>
            <rFont val="Tahoma"/>
            <family val="2"/>
          </rPr>
          <t xml:space="preserve">Factor "0.3" used in the calculation is a default value representing the amount of VS that exits the digester as a percentage of the VS entering the digester.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Rui Chen</author>
  </authors>
  <commentList>
    <comment ref="B5" authorId="0" shapeId="0" xr:uid="{72D3759E-5A73-4483-84C6-F80E25CE0C7F}">
      <text>
        <r>
          <rPr>
            <b/>
            <sz val="9"/>
            <color indexed="81"/>
            <rFont val="Tahoma"/>
            <family val="2"/>
          </rPr>
          <t>CARB:</t>
        </r>
        <r>
          <rPr>
            <sz val="9"/>
            <color indexed="81"/>
            <rFont val="Tahoma"/>
            <family val="2"/>
          </rPr>
          <t xml:space="preserve">
This reflects the Baseline reporting months.</t>
        </r>
      </text>
    </comment>
    <comment ref="C47" authorId="0" shapeId="0" xr:uid="{AF2B0DB0-58AC-4F61-B720-7A6B0A73392D}">
      <text>
        <r>
          <rPr>
            <b/>
            <sz val="9"/>
            <color indexed="81"/>
            <rFont val="Tahoma"/>
            <family val="2"/>
          </rPr>
          <t>CARB:</t>
        </r>
        <r>
          <rPr>
            <sz val="9"/>
            <color indexed="81"/>
            <rFont val="Tahoma"/>
            <family val="2"/>
          </rPr>
          <t xml:space="preserve">
If applicant can demonstrate to CARB that on-site heat/power generation from biomethane is used in the LCFS system boundary, the value of "RNG associated with onsite electricity production" (cell C45) can be included in the avoided CH4 calculation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 Guo@ARB</author>
    <author>Chan Pham</author>
  </authors>
  <commentList>
    <comment ref="E25" authorId="0" shapeId="0" xr:uid="{B969CBE2-38A7-426C-AC7E-62EC0CAC7EB9}">
      <text>
        <r>
          <rPr>
            <b/>
            <sz val="9"/>
            <color indexed="81"/>
            <rFont val="Tahoma"/>
            <family val="2"/>
          </rPr>
          <t xml:space="preserve">CARB:
</t>
        </r>
        <r>
          <rPr>
            <sz val="9"/>
            <color indexed="81"/>
            <rFont val="Tahoma"/>
            <family val="2"/>
          </rPr>
          <t xml:space="preserve">
For metered vented biogas, please report it in Section L3 in "Manure-to-Biogas (LOP Inputs)" worksheet.
</t>
        </r>
      </text>
    </comment>
    <comment ref="Q27" authorId="0" shapeId="0" xr:uid="{AB877874-FBC2-4FD0-BFFE-F6C68D632DA8}">
      <text>
        <r>
          <rPr>
            <b/>
            <sz val="9"/>
            <color indexed="81"/>
            <rFont val="Tahoma"/>
            <family val="2"/>
          </rPr>
          <t xml:space="preserve">CARB:
</t>
        </r>
        <r>
          <rPr>
            <sz val="9"/>
            <color indexed="81"/>
            <rFont val="Tahoma"/>
            <family val="2"/>
          </rPr>
          <t xml:space="preserve">
If "User-Defined Fuel-1", "User-Defined Fuel-2", or "User-Defined Fuel-3" is selected, please input the emission factor for the user-defined fuel in the 'Fuel used in pathway' table in the "EF Table" worksheet. The user-defined fuel must be reported with the unit of MJ.
</t>
        </r>
      </text>
    </comment>
    <comment ref="X27" authorId="0" shapeId="0" xr:uid="{6326DA63-2BDF-4DAE-B40E-4D6F76057581}">
      <text>
        <r>
          <rPr>
            <b/>
            <sz val="9"/>
            <color indexed="81"/>
            <rFont val="Tahoma"/>
            <family val="2"/>
          </rPr>
          <t xml:space="preserve">CARB:
</t>
        </r>
        <r>
          <rPr>
            <sz val="9"/>
            <color indexed="81"/>
            <rFont val="Tahoma"/>
            <family val="2"/>
          </rPr>
          <t xml:space="preserve">If "User-Defined Fuel-1", "User-Defined Fuel-2", or "User-Defined Fuel-3" is selected, please input the emission factor for the user-defined fuel in the 'Fuel used in pathway' table in the "EF Table" worksheet. The user-defined fuel must be reported with the unit of MJ.
</t>
        </r>
      </text>
    </comment>
    <comment ref="AA27" authorId="0" shapeId="0" xr:uid="{FDB2C7EE-D3CD-4CFF-AB2D-70FEAB188563}">
      <text>
        <r>
          <rPr>
            <b/>
            <sz val="9"/>
            <color indexed="81"/>
            <rFont val="Tahoma"/>
            <family val="2"/>
          </rPr>
          <t xml:space="preserve">CARB:
</t>
        </r>
        <r>
          <rPr>
            <sz val="9"/>
            <color indexed="81"/>
            <rFont val="Tahoma"/>
            <family val="2"/>
          </rPr>
          <t>If "User-Defined Fuel-1", "User-Defined Fuel-2", or "User-Defined Fuel-3" is selected, please input the emission factor for the user-defined fuel in the 'Fuel used in pathway' table in the "EF Table" worksheet. The user-defined fuel must be reported with the unit of MJ.</t>
        </r>
      </text>
    </comment>
    <comment ref="AH30" authorId="1" shapeId="0" xr:uid="{FBCB561F-60E6-4111-A7B9-F651D594B8B9}">
      <text>
        <r>
          <rPr>
            <b/>
            <sz val="9"/>
            <color indexed="81"/>
            <rFont val="Tahoma"/>
            <family val="2"/>
          </rPr>
          <t xml:space="preserve">CARB:
</t>
        </r>
        <r>
          <rPr>
            <sz val="9"/>
            <color indexed="81"/>
            <rFont val="Tahoma"/>
            <family val="2"/>
          </rPr>
          <t xml:space="preserve">
If pipeline transport serves multiple distribution routes in California, a weighted average distance may be calculated, the California centroid (Bakersfield, CA) may be used, or the distance of the farthest route may be applied.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Yu, Guo@ARB</author>
  </authors>
  <commentList>
    <comment ref="E5" authorId="0" shapeId="0" xr:uid="{5BF6FD67-0A16-40F2-A212-26E00D0DFA8B}">
      <text>
        <r>
          <rPr>
            <b/>
            <sz val="9"/>
            <color indexed="81"/>
            <rFont val="Tahoma"/>
            <family val="2"/>
          </rPr>
          <t>CARB:</t>
        </r>
        <r>
          <rPr>
            <sz val="9"/>
            <color indexed="81"/>
            <rFont val="Tahoma"/>
            <family val="2"/>
          </rPr>
          <t xml:space="preserve">
Input a user defined electricity emission factor here if applicable.</t>
        </r>
      </text>
    </comment>
    <comment ref="J52" authorId="0" shapeId="0" xr:uid="{D49E2D75-9580-4417-8BEA-515DFE455925}">
      <text>
        <r>
          <rPr>
            <b/>
            <sz val="9"/>
            <color indexed="81"/>
            <rFont val="Tahoma"/>
            <family val="2"/>
          </rPr>
          <t xml:space="preserve">CARB:
</t>
        </r>
        <r>
          <rPr>
            <sz val="9"/>
            <color indexed="81"/>
            <rFont val="Tahoma"/>
            <family val="2"/>
          </rPr>
          <t>This emission factor (EF) demonstrates how to derive a natural gas EF by considering both feedstock production and flaring. It is included here for demonstration purposes and is not used in the calculator.</t>
        </r>
        <r>
          <rPr>
            <sz val="9"/>
            <color indexed="81"/>
            <rFont val="Tahoma"/>
            <family val="2"/>
          </rPr>
          <t xml:space="preserve">
</t>
        </r>
      </text>
    </comment>
    <comment ref="C80" authorId="0" shapeId="0" xr:uid="{34DC1963-6182-4B99-980E-90DB8A403F98}">
      <text>
        <r>
          <rPr>
            <b/>
            <sz val="9"/>
            <color indexed="81"/>
            <rFont val="Tahoma"/>
            <family val="2"/>
          </rPr>
          <t xml:space="preserve">CARB:
</t>
        </r>
        <r>
          <rPr>
            <sz val="9"/>
            <color indexed="81"/>
            <rFont val="Tahoma"/>
            <family val="2"/>
          </rPr>
          <t xml:space="preserve">Input the user-defined fuel name along with the unit of MJ (LHV) in parentheses. 
</t>
        </r>
      </text>
    </comment>
    <comment ref="C81" authorId="0" shapeId="0" xr:uid="{D839F9E5-85CE-4019-BE75-C597A87ECC39}">
      <text>
        <r>
          <rPr>
            <b/>
            <sz val="9"/>
            <color indexed="81"/>
            <rFont val="Tahoma"/>
            <family val="2"/>
          </rPr>
          <t xml:space="preserve">CARB:
</t>
        </r>
        <r>
          <rPr>
            <sz val="9"/>
            <color indexed="81"/>
            <rFont val="Tahoma"/>
            <family val="2"/>
          </rPr>
          <t xml:space="preserve">Input the user-defined fuel name along with the unit of MJ (LHV) in parentheses. 
</t>
        </r>
      </text>
    </comment>
    <comment ref="C82" authorId="0" shapeId="0" xr:uid="{499772C0-49A1-40BA-85A1-44983DF00CBC}">
      <text>
        <r>
          <rPr>
            <b/>
            <sz val="9"/>
            <color indexed="81"/>
            <rFont val="Tahoma"/>
            <family val="2"/>
          </rPr>
          <t xml:space="preserve">CARB:
</t>
        </r>
        <r>
          <rPr>
            <sz val="9"/>
            <color indexed="81"/>
            <rFont val="Tahoma"/>
            <family val="2"/>
          </rPr>
          <t xml:space="preserve">Input the user-defined fuel name along with the unit of MJ (LHV) in parentheses.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<sst xmlns="http://schemas.openxmlformats.org/spreadsheetml/2006/main" count="1216" uniqueCount="786">
  <si>
    <r>
      <t xml:space="preserve">Low Carbon Fuel Standard
Tier 1 CI Calculator for Dairy and Swine Manure Biomethane (Release Date: </t>
    </r>
    <r>
      <rPr>
        <b/>
        <sz val="14"/>
        <rFont val="Calibri"/>
        <family val="2"/>
      </rPr>
      <t>07/01/2025</t>
    </r>
    <r>
      <rPr>
        <b/>
        <sz val="14"/>
        <color theme="1"/>
        <rFont val="Calibri"/>
        <family val="2"/>
      </rPr>
      <t>)</t>
    </r>
  </si>
  <si>
    <r>
      <rPr>
        <sz val="11"/>
        <color rgb="FF000000"/>
        <rFont val="Calibri"/>
      </rPr>
      <t>The Tier 1 Calculator for Biomethane from Anaerobic Digestion of Dairy and Swine Manure offers a simplified interface for calculating the carbon intensity (CI) of biomethane produced from the anaerobic digestion of dairy and swine manure. To begin, please navigate to the "Manure-to-Biogas (LOP Inputs)", "Biogas-to-RNG", and "Avoided Emissions" worksheets and enter all relevant data. Inputs entered by the applicant are limited to all yellow cells (see Color Key below) and are subject to be validated and verified by a third-party verifier. Inputs that do not apply to the fuel pathway may be left blank. Cells containing calculated or predefined input values may not be modified without CARB approval via a Tier 2 pathway. 
The carbon Intensity (CI) summary is provided in the "Pathway Summary" worksheet. A conservative margin of safety may be added to the calculated CI in this worksheet to establish the final CI. Pathway-specific Operating Conditions may be added by CARB prior to pathway certification.
Notes:
1. "Manure-to-Biogas (LOP Inputs)" worksheet
    • Annual lagoon cleanout is required for the baseline modeling (Fields L1.(1-6).15) for both Tier 1 and Tier 2 pathways. Please refer to the Instruction Manual of the calculator for more details. 
    • Field L3.1 is not a user input, to adjust the operational data period, please update Field 2.3 in the "Biogas-to-RNG" worksheet. 
    • Please select either "12" or "24” months for Field L1.1.2. If the number of baseline reporting month entered in Fields L1.(1-6).7 does not match the entry in Field L1.1.2, an "ERROR" message will appear in the total baseline methane emission from Anaerobic Storage/Treatment Systems (cells N33, AB33, AP33, BD33, BR33, and CF33). Once 24 months are selected for the baseline reporting period, the applicant must continue to model the 24-month baseline moving forward (including Annual Fuel Pathway Reports). Please refer to the Instruction Manual of the calculator for more details.
    • Calculated herd populations are not allowed to establish the initial VS carryover (Fields L1.(1-6).16). If herd populations used to establish the initial VS carryover are not verifiable, enter zero</t>
    </r>
    <r>
      <rPr>
        <sz val="11"/>
        <color rgb="FFFF0000"/>
        <rFont val="Calibri"/>
      </rPr>
      <t xml:space="preserve"> </t>
    </r>
    <r>
      <rPr>
        <sz val="11"/>
        <color rgb="FF000000"/>
        <rFont val="Calibri"/>
      </rPr>
      <t>for the initial VS carryover. 
2. "Biogas-to-RNG" worksheet
    • For Section 1, the "Company Name" represents the fuel pathway applicant ("Fuel Producer" in AFP), whereas the "Facility Name" represents the fuel production facility ("Facility" in the AFP).
    • A minimum of 3 months of project operational data is required in Section 2. The project reporting month populated in Field 2.3 must be entirely covered by the baseline reporting month populated in Fields L1.(1-6).7 in the "Manure-to-Biogas (LOP Inputs)" worksheet. If the number of project reporting months is fewer than the number of baseline reporting months, the project reporting month must align with the latest baseline reporting month.    
    • If less than 24 months of project operational data is reported in the Annual Fuel Pathway Reports, the operational data period must include the reported months established during pathway initial certification. 
    • Please enter the name of each intermediate facility included in this fuel pathway in Field 1.11. All intermediate facilities must also be registered in the AFP to align with the legal name of the facility or with US EPA facility registration. Please refer to LCFS Guidance 20-01 (</t>
    </r>
    <r>
      <rPr>
        <i/>
        <u/>
        <sz val="11"/>
        <color rgb="FF000000"/>
        <rFont val="Calibri"/>
      </rPr>
      <t>https://ww2.arb.ca.gov/sites/default/files/classic/fuels/lcfs/guidance/lcfsguidance_20-01.pdf</t>
    </r>
    <r>
      <rPr>
        <sz val="11"/>
        <color rgb="FF000000"/>
        <rFont val="Calibri"/>
      </rPr>
      <t>) for details on intermediate facility identification and registration.
3. This calculator contains macros. If using Microsoft Excel, users will have to select the "Enable Content" button upon opening this calculator and select "Automatic" calculations from the "Calculation Options" in the "Formulas" toolbar or press F9 to ensure that the calculator results are accurate.</t>
    </r>
  </si>
  <si>
    <t>Color Key</t>
  </si>
  <si>
    <t>LCFS Website Resources</t>
  </si>
  <si>
    <t>User Input</t>
  </si>
  <si>
    <t>LCFS Program Overview</t>
  </si>
  <si>
    <t>Calculated Value</t>
  </si>
  <si>
    <t>Tier 1 Pathway Calculators and Instruction Manuals</t>
  </si>
  <si>
    <t>CA-GREET4.0 Input</t>
  </si>
  <si>
    <t>Pathway Application Process</t>
  </si>
  <si>
    <t>Pathway CI Results</t>
  </si>
  <si>
    <t>`</t>
  </si>
  <si>
    <t>SUMMARY AND OPERATING CONDITIONS OF DAIRY/SWINE MANURE TO CNG/LNG/L-CNG PATHWAY</t>
  </si>
  <si>
    <t>(FOR APPLICANT TO REVIEW ONLY - CONTAINS CONFIDENTIAL BUSINESS INFORMATION - DO NOT DISTRIBUTE)</t>
  </si>
  <si>
    <t>AXXXX/BXXXX</t>
  </si>
  <si>
    <t>Input Data</t>
  </si>
  <si>
    <r>
      <t>Output Results, gCO</t>
    </r>
    <r>
      <rPr>
        <b/>
        <vertAlign val="subscript"/>
        <sz val="11"/>
        <color theme="0"/>
        <rFont val="Arial"/>
        <family val="2"/>
      </rPr>
      <t>2</t>
    </r>
    <r>
      <rPr>
        <b/>
        <sz val="11"/>
        <color theme="0"/>
        <rFont val="Arial"/>
        <family val="2"/>
      </rPr>
      <t>e/MJ</t>
    </r>
  </si>
  <si>
    <t>Biogas</t>
  </si>
  <si>
    <t>Applicant</t>
  </si>
  <si>
    <t xml:space="preserve">CNG Carbon Intensity: </t>
  </si>
  <si>
    <t>Digester Location:</t>
  </si>
  <si>
    <t xml:space="preserve">Certification Date: </t>
  </si>
  <si>
    <t>TBD</t>
  </si>
  <si>
    <t>Pathway Description:</t>
  </si>
  <si>
    <t xml:space="preserve">FPC Code: </t>
  </si>
  <si>
    <t>First Reporting Month for Certification</t>
  </si>
  <si>
    <t>Number of Project Reporting Month</t>
  </si>
  <si>
    <t>User Inputs Parameters</t>
  </si>
  <si>
    <t>Value</t>
  </si>
  <si>
    <t>Unit</t>
  </si>
  <si>
    <t>Note</t>
  </si>
  <si>
    <r>
      <t>CI Breakdown (gCO</t>
    </r>
    <r>
      <rPr>
        <b/>
        <vertAlign val="subscript"/>
        <sz val="12"/>
        <color theme="0"/>
        <rFont val="Arial"/>
        <family val="2"/>
      </rPr>
      <t>2</t>
    </r>
    <r>
      <rPr>
        <b/>
        <sz val="12"/>
        <color theme="0"/>
        <rFont val="Arial"/>
        <family val="2"/>
      </rPr>
      <t>e/MJ)</t>
    </r>
  </si>
  <si>
    <t>1) Project Background Information</t>
  </si>
  <si>
    <t>Average total livestock population</t>
  </si>
  <si>
    <t>head</t>
  </si>
  <si>
    <t>Average ambient temperature</t>
  </si>
  <si>
    <t>°C</t>
  </si>
  <si>
    <t>Full lagoon cleanouts in baseline?</t>
  </si>
  <si>
    <t>Digester type</t>
  </si>
  <si>
    <t>Manure Biogas Production Electricity Mix</t>
  </si>
  <si>
    <t>2) Baseline Methane Production</t>
  </si>
  <si>
    <t>Diesel consumption</t>
  </si>
  <si>
    <t>Gallons</t>
  </si>
  <si>
    <t>Electricity consumption</t>
  </si>
  <si>
    <t>kWh</t>
  </si>
  <si>
    <r>
      <t>Baseline CH</t>
    </r>
    <r>
      <rPr>
        <vertAlign val="subscript"/>
        <sz val="11"/>
        <color theme="0"/>
        <rFont val="Arial"/>
        <family val="2"/>
      </rPr>
      <t xml:space="preserve">4 </t>
    </r>
    <r>
      <rPr>
        <sz val="11"/>
        <color theme="0"/>
        <rFont val="Arial"/>
        <family val="2"/>
      </rPr>
      <t>emissions from anaerobic storage/treatment systems</t>
    </r>
  </si>
  <si>
    <r>
      <t>MT CH</t>
    </r>
    <r>
      <rPr>
        <vertAlign val="subscript"/>
        <sz val="11"/>
        <color theme="0"/>
        <rFont val="Arial"/>
        <family val="2"/>
      </rPr>
      <t>4</t>
    </r>
    <r>
      <rPr>
        <sz val="11"/>
        <color theme="0"/>
        <rFont val="Arial"/>
        <family val="2"/>
      </rPr>
      <t xml:space="preserve"> / month</t>
    </r>
  </si>
  <si>
    <r>
      <t>Baseline CH</t>
    </r>
    <r>
      <rPr>
        <vertAlign val="subscript"/>
        <sz val="11"/>
        <color theme="0"/>
        <rFont val="Arial"/>
        <family val="2"/>
      </rPr>
      <t xml:space="preserve">4 </t>
    </r>
    <r>
      <rPr>
        <sz val="11"/>
        <color theme="0"/>
        <rFont val="Arial"/>
        <family val="2"/>
      </rPr>
      <t>emissions from non-anaerobic storage/treatment systems</t>
    </r>
  </si>
  <si>
    <r>
      <t>Total Baseline CH</t>
    </r>
    <r>
      <rPr>
        <b/>
        <vertAlign val="subscript"/>
        <sz val="11"/>
        <color theme="0"/>
        <rFont val="Arial"/>
        <family val="2"/>
      </rPr>
      <t xml:space="preserve">4 </t>
    </r>
    <r>
      <rPr>
        <b/>
        <sz val="11"/>
        <color theme="0"/>
        <rFont val="Arial"/>
        <family val="2"/>
      </rPr>
      <t>atmospheric emissions</t>
    </r>
  </si>
  <si>
    <r>
      <t>MT CH</t>
    </r>
    <r>
      <rPr>
        <b/>
        <vertAlign val="subscript"/>
        <sz val="11"/>
        <color theme="0"/>
        <rFont val="Arial"/>
        <family val="2"/>
      </rPr>
      <t>4</t>
    </r>
    <r>
      <rPr>
        <b/>
        <sz val="11"/>
        <color theme="0"/>
        <rFont val="Arial"/>
        <family val="2"/>
      </rPr>
      <t xml:space="preserve"> / month</t>
    </r>
  </si>
  <si>
    <t>Methane Avoided / CO2 Diverted Credits</t>
  </si>
  <si>
    <t>3) Project Methane Production</t>
  </si>
  <si>
    <t xml:space="preserve">Raw Inlet Gas as Feedstock </t>
  </si>
  <si>
    <t>SCF at 60°F</t>
  </si>
  <si>
    <t xml:space="preserve">Average Methane Content </t>
  </si>
  <si>
    <t>% CH4</t>
  </si>
  <si>
    <t>Biogas Production</t>
  </si>
  <si>
    <t>Biogas Production &amp; Upgrading</t>
  </si>
  <si>
    <r>
      <t>CH</t>
    </r>
    <r>
      <rPr>
        <vertAlign val="subscript"/>
        <sz val="11"/>
        <color theme="0"/>
        <rFont val="Arial"/>
        <family val="2"/>
      </rPr>
      <t>4</t>
    </r>
    <r>
      <rPr>
        <sz val="11"/>
        <color theme="0"/>
        <rFont val="Arial"/>
        <family val="2"/>
      </rPr>
      <t xml:space="preserve"> emissions from venting events </t>
    </r>
  </si>
  <si>
    <r>
      <t>CH</t>
    </r>
    <r>
      <rPr>
        <vertAlign val="subscript"/>
        <sz val="11"/>
        <color theme="0"/>
        <rFont val="Arial"/>
        <family val="2"/>
      </rPr>
      <t>4</t>
    </r>
    <r>
      <rPr>
        <sz val="11"/>
        <color theme="0"/>
        <rFont val="Arial"/>
        <family val="2"/>
      </rPr>
      <t xml:space="preserve"> emissions from effluent pond(s) </t>
    </r>
  </si>
  <si>
    <r>
      <t>CH</t>
    </r>
    <r>
      <rPr>
        <vertAlign val="subscript"/>
        <sz val="11"/>
        <color theme="0"/>
        <rFont val="Arial"/>
        <family val="2"/>
      </rPr>
      <t>4</t>
    </r>
    <r>
      <rPr>
        <sz val="11"/>
        <color theme="0"/>
        <rFont val="Arial"/>
        <family val="2"/>
      </rPr>
      <t xml:space="preserve"> emissions from non-BCS-related sources</t>
    </r>
  </si>
  <si>
    <t>Post-Digester Fugitives</t>
  </si>
  <si>
    <t>Digester Leakage (standard value)</t>
  </si>
  <si>
    <t>Flared Biomethane</t>
  </si>
  <si>
    <t>Upgrading Fugitives (2% minimum)</t>
  </si>
  <si>
    <r>
      <t>Total Project CH</t>
    </r>
    <r>
      <rPr>
        <b/>
        <vertAlign val="subscript"/>
        <sz val="11"/>
        <color theme="0"/>
        <rFont val="Arial"/>
        <family val="2"/>
      </rPr>
      <t xml:space="preserve">4 </t>
    </r>
    <r>
      <rPr>
        <b/>
        <sz val="11"/>
        <color theme="0"/>
        <rFont val="Arial"/>
        <family val="2"/>
      </rPr>
      <t>atmospheric emissions</t>
    </r>
  </si>
  <si>
    <t>Biomethane Transmission</t>
  </si>
  <si>
    <r>
      <t>Net reduction in atmospheric CH</t>
    </r>
    <r>
      <rPr>
        <b/>
        <vertAlign val="subscript"/>
        <sz val="11"/>
        <color theme="0"/>
        <rFont val="Arial"/>
        <family val="2"/>
      </rPr>
      <t>4</t>
    </r>
    <r>
      <rPr>
        <b/>
        <sz val="11"/>
        <color theme="0"/>
        <rFont val="Arial"/>
        <family val="2"/>
      </rPr>
      <t xml:space="preserve"> emissions from baseline</t>
    </r>
  </si>
  <si>
    <t>%</t>
  </si>
  <si>
    <t>NG Transport Electricity Mix</t>
  </si>
  <si>
    <t>Pipeline Distance to Centroid of CNG stations</t>
  </si>
  <si>
    <t>miles</t>
  </si>
  <si>
    <t>Pipeline Distance to LNG facility</t>
  </si>
  <si>
    <t>4) Project Energy Usage</t>
  </si>
  <si>
    <t xml:space="preserve">LNG Production &amp; Transmission </t>
  </si>
  <si>
    <t>Diesel</t>
  </si>
  <si>
    <t>MJ / month</t>
  </si>
  <si>
    <t>Electricity (including on-site electricity from biogas)</t>
  </si>
  <si>
    <t xml:space="preserve">Natural Gas </t>
  </si>
  <si>
    <t>Propane (process energy)</t>
  </si>
  <si>
    <t>Raw Biogas (heat+process fuel)</t>
  </si>
  <si>
    <t>MJ/month</t>
  </si>
  <si>
    <t>Biomethane (heating + process fuel)</t>
  </si>
  <si>
    <t>CNG Production</t>
  </si>
  <si>
    <t>Tailpipe Emissions</t>
  </si>
  <si>
    <t xml:space="preserve">Fuel for Biomethane transport </t>
  </si>
  <si>
    <t>Natural Gas (Gas Btu Enhancement)</t>
  </si>
  <si>
    <t>HHV in MMBtu</t>
  </si>
  <si>
    <t>Propane (Gas Btu Enhancement)</t>
  </si>
  <si>
    <t>Energy Return on Investment</t>
  </si>
  <si>
    <t>MJ Outputs / MJ Inputs</t>
  </si>
  <si>
    <t>1) CNG CI Breakdown</t>
  </si>
  <si>
    <t>Subtotal CI (gCO2e/MJ)</t>
  </si>
  <si>
    <t>Conservative Margin of Safety (gCO2e/MJ)</t>
  </si>
  <si>
    <t>5) Fuel Production</t>
  </si>
  <si>
    <t>Total CI (gCO2e/MJ)</t>
  </si>
  <si>
    <t>Compressed Natural Gas (CNG) Production</t>
  </si>
  <si>
    <t>CNG Production Electricity Mix</t>
  </si>
  <si>
    <t>LNG Transport &amp; Dispense</t>
  </si>
  <si>
    <t>2) LNG CI Breakdown</t>
  </si>
  <si>
    <t xml:space="preserve"> Truck</t>
  </si>
  <si>
    <t>Subtotal CI</t>
  </si>
  <si>
    <t>Dispense</t>
  </si>
  <si>
    <t>6) Finished Fuel</t>
  </si>
  <si>
    <t>Biomethane Injected into Pipeline</t>
  </si>
  <si>
    <t>Parasitic (On-site) Electricity from Biogas</t>
  </si>
  <si>
    <t>% Exported</t>
  </si>
  <si>
    <t>2) L-CNG CI Breakdown</t>
  </si>
  <si>
    <t xml:space="preserve">Operating Conditions: </t>
  </si>
  <si>
    <t xml:space="preserve">
</t>
  </si>
  <si>
    <t>Calculations Based on Selected Equations from the 
"Compliance Offset Protocol Livestock Projects" (LOP)</t>
  </si>
  <si>
    <r>
      <t>Section L1: Baseline Methane Emissions from Anaerobic Storage/Treatment Systems (BE</t>
    </r>
    <r>
      <rPr>
        <b/>
        <vertAlign val="subscript"/>
        <sz val="16"/>
        <color theme="0"/>
        <rFont val="Calibri"/>
        <family val="2"/>
        <scheme val="minor"/>
      </rPr>
      <t>CH4,AS</t>
    </r>
    <r>
      <rPr>
        <b/>
        <sz val="16"/>
        <color theme="0"/>
        <rFont val="Calibri"/>
        <family val="2"/>
        <scheme val="minor"/>
      </rPr>
      <t>) (Reference: [Equation 5.3 in LOP])</t>
    </r>
  </si>
  <si>
    <t>L1.1.1 
Livestock Category (L)
1</t>
  </si>
  <si>
    <t xml:space="preserve">L1.1.7
Reporting Month </t>
  </si>
  <si>
    <t>L1.1.8
Livestock Population</t>
  </si>
  <si>
    <t>L1.1.9
Calendar Days of the Month</t>
  </si>
  <si>
    <t>L1.1.10
Number of Reporting Days</t>
  </si>
  <si>
    <t>L1.1.11
Average Temperature</t>
  </si>
  <si>
    <t xml:space="preserve">L1.1.12
Van't Hoff-Arrhenius factor </t>
  </si>
  <si>
    <t>L1.1.13
 Fraction of Volatile Solids Sent to Anaerobic Storage/Treatment System</t>
  </si>
  <si>
    <t>L1.1.14
Volatile Solids Available for Degradation</t>
  </si>
  <si>
    <t>L1.1.15
Retention Time and Drainage</t>
  </si>
  <si>
    <t>L1.1.16
Carryover from Previous Month</t>
  </si>
  <si>
    <t>L1.1.17
Volatile Solids Degraded</t>
  </si>
  <si>
    <t>L1.1.18
Baseline Methane Emissions, AS</t>
  </si>
  <si>
    <t>L1.2.1 
Livestock Category (L)
2</t>
  </si>
  <si>
    <t xml:space="preserve">L1.2.7
Reporting Month </t>
  </si>
  <si>
    <t>L1.2.8
Livestock Population</t>
  </si>
  <si>
    <t>L1.2.9
Calendar Days of the Month</t>
  </si>
  <si>
    <t>L1.2.10
Number of Reporting Days</t>
  </si>
  <si>
    <t>L1.2.11 
Average Temperature</t>
  </si>
  <si>
    <t xml:space="preserve">L1.2.12
Van't Hoff-Arrhenius factor </t>
  </si>
  <si>
    <t>L1.2.13 
Fraction of Volatile Solids Sent to Anaerobic Storage/Treatment System</t>
  </si>
  <si>
    <t>L1.2.14 
Volatile Solids Available for Degradation</t>
  </si>
  <si>
    <t>L1.2.15
Retention Time and Drainage</t>
  </si>
  <si>
    <t>L1.2.16
Carryover from Previous Month</t>
  </si>
  <si>
    <t>L1.2.17
Volatile Solids Degraded</t>
  </si>
  <si>
    <t>L1.2.18
Baseline Methane Emissions, AS</t>
  </si>
  <si>
    <t>L1.3.1 
Livestock Category (L)
3</t>
  </si>
  <si>
    <t xml:space="preserve">L1.3.7
Reporting Month </t>
  </si>
  <si>
    <t>L1.3.8
Livestock Population</t>
  </si>
  <si>
    <t>L1.3.9
Calendar Days of the Month</t>
  </si>
  <si>
    <t>L1.3.10 
Number of Reporting Days</t>
  </si>
  <si>
    <t>L1.3.11
Average Temperature</t>
  </si>
  <si>
    <t xml:space="preserve">L1.3.12
Van't Hoff-Arrhenius factor </t>
  </si>
  <si>
    <t>L1.3.13
Fraction of Volatile Solids Sent to Anaerobic Storage/Treatment System</t>
  </si>
  <si>
    <t>L1.3.14
Volatile Solids Available for Degradation</t>
  </si>
  <si>
    <t>L1.3.15
Retention Time and Drainage</t>
  </si>
  <si>
    <t>L1.3.16
Carryover from Previous Month</t>
  </si>
  <si>
    <t>L1.3.17
Volatile Solids Degraded</t>
  </si>
  <si>
    <t>L1.3.18
Baseline Methane Emissions, AS</t>
  </si>
  <si>
    <t>L1.4.1 
Livestock Category (L)
4</t>
  </si>
  <si>
    <t xml:space="preserve">L1.4.7
Reporting Month </t>
  </si>
  <si>
    <t>L1.4.8
Livestock Population</t>
  </si>
  <si>
    <t>L1.4.9
Calendar Days of the Month</t>
  </si>
  <si>
    <t>L1.4.10
Number of Reporting Days</t>
  </si>
  <si>
    <t>L1.4.11
Average Temperature</t>
  </si>
  <si>
    <t xml:space="preserve">L1.4.12
Van't Hoff-Arrhenius factor </t>
  </si>
  <si>
    <t>L1.4.13
Fraction of Volatile Solids Sent to Anaerobic Storage/Treatment System</t>
  </si>
  <si>
    <t>L1.4.14
Volatile Solids Available for Degradation</t>
  </si>
  <si>
    <t>L1.4.15
Retention Time and Drainage</t>
  </si>
  <si>
    <t>L1.4.16
Carryover from Previous Month</t>
  </si>
  <si>
    <t>L1.4.17
Volatile Solids Degraded</t>
  </si>
  <si>
    <t>L1.4.18
Baseline Methane Emissions, AS</t>
  </si>
  <si>
    <t>L1.5.1 
Livestock Category (L)
5</t>
  </si>
  <si>
    <t xml:space="preserve">L1.5.7
Reporting Month </t>
  </si>
  <si>
    <t>L1.5.8
Livestock Population</t>
  </si>
  <si>
    <t>L1.5.9
Calendar Days of the Month</t>
  </si>
  <si>
    <t>L1.5.10
Number of Reporting Days</t>
  </si>
  <si>
    <t>L1.5.11 
Average Temperature</t>
  </si>
  <si>
    <t xml:space="preserve">L1.5.12
Van't Hoff-Arrhenius factor </t>
  </si>
  <si>
    <t>L1.5.13
Fraction of Volatile Solids Sent to Anaerobic Storage/Treatment System</t>
  </si>
  <si>
    <t>L1.5.14 
Volatile Solids Available for Degradation</t>
  </si>
  <si>
    <t>L1.5.15
Retention Time and Drainage</t>
  </si>
  <si>
    <t>L1.5.16
Carryover from Previous Month</t>
  </si>
  <si>
    <t>L1.5.17
Volatile Solids Degraded</t>
  </si>
  <si>
    <t>L1.5.18
Baseline Methane Emissions, AS</t>
  </si>
  <si>
    <t>L1.6.1 
Livestock Category (L)
6</t>
  </si>
  <si>
    <t xml:space="preserve">L1.6.7
Reporting Month </t>
  </si>
  <si>
    <t>L1.6.8 
Livestock Population</t>
  </si>
  <si>
    <t>L1.6.9
Calendar Days of the Month</t>
  </si>
  <si>
    <t>L1.6.10
Number of Reporting Days</t>
  </si>
  <si>
    <t>L1.6.11
Average Temperature</t>
  </si>
  <si>
    <t xml:space="preserve">L1.6.12
Van't Hoff-Arrhenius factor </t>
  </si>
  <si>
    <t>L1.6.13
Fraction of Volatile Solids Sent to Anaerobic Storage/Treatment System</t>
  </si>
  <si>
    <t>L1.6.14 
Volatile Solids Available for Degradation</t>
  </si>
  <si>
    <t>L1.6.15
Retention Time and Drainage</t>
  </si>
  <si>
    <t>L1.6.16
Carryover from Previous Month</t>
  </si>
  <si>
    <t>L1.6.17
Volatile Solids Degraded</t>
  </si>
  <si>
    <t>L1.6.18
Baseline Methane Emissions, AS</t>
  </si>
  <si>
    <t>-</t>
  </si>
  <si>
    <t>(MM/YYYY)</t>
  </si>
  <si>
    <r>
      <t>P</t>
    </r>
    <r>
      <rPr>
        <b/>
        <vertAlign val="subscript"/>
        <sz val="12"/>
        <color theme="0"/>
        <rFont val="Calibri"/>
        <family val="2"/>
        <scheme val="minor"/>
      </rPr>
      <t>L</t>
    </r>
  </si>
  <si>
    <t>days</t>
  </si>
  <si>
    <r>
      <t>RD</t>
    </r>
    <r>
      <rPr>
        <b/>
        <vertAlign val="subscript"/>
        <sz val="12"/>
        <color theme="0"/>
        <rFont val="Calibri"/>
        <family val="2"/>
        <scheme val="minor"/>
      </rPr>
      <t xml:space="preserve">rm </t>
    </r>
    <r>
      <rPr>
        <b/>
        <sz val="12"/>
        <color theme="0"/>
        <rFont val="Calibri"/>
        <family val="2"/>
        <scheme val="minor"/>
      </rPr>
      <t xml:space="preserve"> (days)</t>
    </r>
  </si>
  <si>
    <r>
      <t>T</t>
    </r>
    <r>
      <rPr>
        <b/>
        <vertAlign val="subscript"/>
        <sz val="12"/>
        <color theme="0"/>
        <rFont val="Calibri"/>
        <family val="2"/>
        <scheme val="minor"/>
      </rPr>
      <t>2</t>
    </r>
    <r>
      <rPr>
        <b/>
        <sz val="12"/>
        <color theme="0"/>
        <rFont val="Calibri"/>
        <family val="2"/>
        <scheme val="minor"/>
      </rPr>
      <t xml:space="preserve"> (°C)</t>
    </r>
  </si>
  <si>
    <t>f</t>
  </si>
  <si>
    <r>
      <t>MS</t>
    </r>
    <r>
      <rPr>
        <b/>
        <vertAlign val="subscript"/>
        <sz val="12"/>
        <color theme="0"/>
        <rFont val="Calibri"/>
        <family val="2"/>
        <scheme val="minor"/>
      </rPr>
      <t>AS,L</t>
    </r>
    <r>
      <rPr>
        <b/>
        <sz val="12"/>
        <color theme="0"/>
        <rFont val="Calibri"/>
        <family val="2"/>
        <scheme val="minor"/>
      </rPr>
      <t xml:space="preserve"> (fraction)</t>
    </r>
  </si>
  <si>
    <r>
      <t>VS</t>
    </r>
    <r>
      <rPr>
        <b/>
        <vertAlign val="subscript"/>
        <sz val="12"/>
        <color theme="0"/>
        <rFont val="Calibri"/>
        <family val="2"/>
        <scheme val="minor"/>
      </rPr>
      <t>avail,AS</t>
    </r>
    <r>
      <rPr>
        <b/>
        <sz val="12"/>
        <color theme="0"/>
        <rFont val="Calibri"/>
        <family val="2"/>
        <scheme val="minor"/>
      </rPr>
      <t xml:space="preserve"> (kg)</t>
    </r>
  </si>
  <si>
    <t>Select "System Emptied in This Month" for each September</t>
  </si>
  <si>
    <r>
      <t>(VS</t>
    </r>
    <r>
      <rPr>
        <b/>
        <vertAlign val="subscript"/>
        <sz val="12"/>
        <color theme="0"/>
        <rFont val="Calibri"/>
        <family val="2"/>
        <scheme val="minor"/>
      </rPr>
      <t xml:space="preserve">avail-1,AS </t>
    </r>
    <r>
      <rPr>
        <b/>
        <sz val="12"/>
        <color theme="0"/>
        <rFont val="Calibri"/>
        <family val="2"/>
        <scheme val="minor"/>
      </rPr>
      <t>-VS</t>
    </r>
    <r>
      <rPr>
        <b/>
        <vertAlign val="subscript"/>
        <sz val="12"/>
        <color theme="0"/>
        <rFont val="Calibri"/>
        <family val="2"/>
        <scheme val="minor"/>
      </rPr>
      <t>deg-1,AS</t>
    </r>
    <r>
      <rPr>
        <b/>
        <sz val="12"/>
        <color theme="0"/>
        <rFont val="Calibri"/>
        <family val="2"/>
        <scheme val="minor"/>
      </rPr>
      <t>) (kg)</t>
    </r>
  </si>
  <si>
    <r>
      <t>VS</t>
    </r>
    <r>
      <rPr>
        <b/>
        <vertAlign val="subscript"/>
        <sz val="12"/>
        <color theme="0"/>
        <rFont val="Calibri"/>
        <family val="2"/>
        <scheme val="minor"/>
      </rPr>
      <t>deg,AS</t>
    </r>
    <r>
      <rPr>
        <b/>
        <sz val="12"/>
        <color theme="0"/>
        <rFont val="Calibri"/>
        <family val="2"/>
        <scheme val="minor"/>
      </rPr>
      <t xml:space="preserve"> (kg)</t>
    </r>
  </si>
  <si>
    <r>
      <t>BE</t>
    </r>
    <r>
      <rPr>
        <b/>
        <vertAlign val="subscript"/>
        <sz val="12"/>
        <color theme="0"/>
        <rFont val="Calibri"/>
        <family val="2"/>
        <scheme val="minor"/>
      </rPr>
      <t>CH4,AS</t>
    </r>
    <r>
      <rPr>
        <b/>
        <sz val="12"/>
        <color theme="0"/>
        <rFont val="Calibri"/>
        <family val="2"/>
        <scheme val="minor"/>
      </rPr>
      <t xml:space="preserve"> (MT CH</t>
    </r>
    <r>
      <rPr>
        <b/>
        <vertAlign val="subscript"/>
        <sz val="12"/>
        <color theme="0"/>
        <rFont val="Calibri"/>
        <family val="2"/>
        <scheme val="minor"/>
      </rPr>
      <t>4</t>
    </r>
    <r>
      <rPr>
        <b/>
        <sz val="12"/>
        <color theme="0"/>
        <rFont val="Calibri"/>
        <family val="2"/>
        <scheme val="minor"/>
      </rPr>
      <t>)</t>
    </r>
  </si>
  <si>
    <t>L1.1.2 Baseline Reporting Period (Months)</t>
  </si>
  <si>
    <t>L1.2.2 Baseline Reporting Period (Months)</t>
  </si>
  <si>
    <t>L1.3.2 Baseline Reporting Period (Months)</t>
  </si>
  <si>
    <t>L1.4.2 Baseline Reporting Period (Months)</t>
  </si>
  <si>
    <t>L1.5.2 Baseline Reporting Period (Months)</t>
  </si>
  <si>
    <t>L1.6.2 Baseline Reporting Period (Months)</t>
  </si>
  <si>
    <t>Not Applicable</t>
  </si>
  <si>
    <t>L1.1.3 Livestock Average Mass</t>
  </si>
  <si>
    <t>L1.2.3 Livestock Average Mass</t>
  </si>
  <si>
    <t>L1.3.3 Livestock Average Mass</t>
  </si>
  <si>
    <t>L1.4.3 Livestock Average Mass</t>
  </si>
  <si>
    <t>L1.5.3 Livestock Average Mass</t>
  </si>
  <si>
    <t>L1.6.3 Livestock Average Mass</t>
  </si>
  <si>
    <r>
      <t>(Mass</t>
    </r>
    <r>
      <rPr>
        <b/>
        <vertAlign val="subscript"/>
        <sz val="12"/>
        <color theme="0"/>
        <rFont val="Calibri"/>
        <family val="2"/>
        <scheme val="minor"/>
      </rPr>
      <t>L</t>
    </r>
    <r>
      <rPr>
        <b/>
        <sz val="12"/>
        <color theme="0"/>
        <rFont val="Calibri"/>
        <family val="2"/>
        <scheme val="minor"/>
      </rPr>
      <t>, kg)</t>
    </r>
  </si>
  <si>
    <r>
      <t>L1.1.4 Maximum CH</t>
    </r>
    <r>
      <rPr>
        <b/>
        <vertAlign val="subscript"/>
        <sz val="12"/>
        <color theme="0"/>
        <rFont val="Calibri"/>
        <family val="2"/>
        <scheme val="minor"/>
      </rPr>
      <t>4</t>
    </r>
    <r>
      <rPr>
        <b/>
        <sz val="12"/>
        <color theme="0"/>
        <rFont val="Calibri"/>
        <family val="2"/>
        <scheme val="minor"/>
      </rPr>
      <t xml:space="preserve"> Potential</t>
    </r>
  </si>
  <si>
    <r>
      <t>L1.2.4 Maximum CH</t>
    </r>
    <r>
      <rPr>
        <b/>
        <vertAlign val="subscript"/>
        <sz val="12"/>
        <color theme="0"/>
        <rFont val="Calibri"/>
        <family val="2"/>
        <scheme val="minor"/>
      </rPr>
      <t>4</t>
    </r>
    <r>
      <rPr>
        <b/>
        <sz val="12"/>
        <color theme="0"/>
        <rFont val="Calibri"/>
        <family val="2"/>
        <scheme val="minor"/>
      </rPr>
      <t xml:space="preserve"> Potential</t>
    </r>
  </si>
  <si>
    <r>
      <t>L1.3.4 Maximum CH</t>
    </r>
    <r>
      <rPr>
        <b/>
        <vertAlign val="subscript"/>
        <sz val="12"/>
        <color theme="0"/>
        <rFont val="Calibri"/>
        <family val="2"/>
        <scheme val="minor"/>
      </rPr>
      <t>4</t>
    </r>
    <r>
      <rPr>
        <b/>
        <sz val="12"/>
        <color theme="0"/>
        <rFont val="Calibri"/>
        <family val="2"/>
        <scheme val="minor"/>
      </rPr>
      <t xml:space="preserve"> Potential</t>
    </r>
  </si>
  <si>
    <r>
      <t>L1.4.4 Maximum CH</t>
    </r>
    <r>
      <rPr>
        <b/>
        <vertAlign val="subscript"/>
        <sz val="12"/>
        <color theme="0"/>
        <rFont val="Calibri"/>
        <family val="2"/>
        <scheme val="minor"/>
      </rPr>
      <t>4</t>
    </r>
    <r>
      <rPr>
        <b/>
        <sz val="12"/>
        <color theme="0"/>
        <rFont val="Calibri"/>
        <family val="2"/>
        <scheme val="minor"/>
      </rPr>
      <t xml:space="preserve"> Potential</t>
    </r>
  </si>
  <si>
    <r>
      <t>L1.5.4 Maximum CH</t>
    </r>
    <r>
      <rPr>
        <b/>
        <vertAlign val="subscript"/>
        <sz val="12"/>
        <color theme="0"/>
        <rFont val="Calibri"/>
        <family val="2"/>
        <scheme val="minor"/>
      </rPr>
      <t>4</t>
    </r>
    <r>
      <rPr>
        <b/>
        <sz val="12"/>
        <color theme="0"/>
        <rFont val="Calibri"/>
        <family val="2"/>
        <scheme val="minor"/>
      </rPr>
      <t xml:space="preserve"> Potential</t>
    </r>
  </si>
  <si>
    <r>
      <t>L1.6.4 Maximum CH</t>
    </r>
    <r>
      <rPr>
        <b/>
        <vertAlign val="subscript"/>
        <sz val="12"/>
        <color theme="0"/>
        <rFont val="Calibri"/>
        <family val="2"/>
        <scheme val="minor"/>
      </rPr>
      <t>4</t>
    </r>
    <r>
      <rPr>
        <b/>
        <sz val="12"/>
        <color theme="0"/>
        <rFont val="Calibri"/>
        <family val="2"/>
        <scheme val="minor"/>
      </rPr>
      <t xml:space="preserve"> Potential</t>
    </r>
  </si>
  <si>
    <r>
      <t>(B</t>
    </r>
    <r>
      <rPr>
        <b/>
        <vertAlign val="subscript"/>
        <sz val="12"/>
        <color theme="0"/>
        <rFont val="Calibri"/>
        <family val="2"/>
        <scheme val="minor"/>
      </rPr>
      <t>o,L</t>
    </r>
    <r>
      <rPr>
        <b/>
        <sz val="12"/>
        <color theme="0"/>
        <rFont val="Calibri"/>
        <family val="2"/>
        <scheme val="minor"/>
      </rPr>
      <t xml:space="preserve"> , m</t>
    </r>
    <r>
      <rPr>
        <b/>
        <vertAlign val="superscript"/>
        <sz val="12"/>
        <color theme="0"/>
        <rFont val="Calibri"/>
        <family val="2"/>
        <scheme val="minor"/>
      </rPr>
      <t>3</t>
    </r>
    <r>
      <rPr>
        <b/>
        <sz val="12"/>
        <color theme="0"/>
        <rFont val="Calibri"/>
        <family val="2"/>
        <scheme val="minor"/>
      </rPr>
      <t xml:space="preserve"> CH</t>
    </r>
    <r>
      <rPr>
        <b/>
        <vertAlign val="subscript"/>
        <sz val="12"/>
        <color theme="0"/>
        <rFont val="Calibri"/>
        <family val="2"/>
        <scheme val="minor"/>
      </rPr>
      <t>4</t>
    </r>
    <r>
      <rPr>
        <b/>
        <sz val="12"/>
        <color theme="0"/>
        <rFont val="Calibri"/>
        <family val="2"/>
        <scheme val="minor"/>
      </rPr>
      <t>/kg VS)</t>
    </r>
  </si>
  <si>
    <t>L1.1.5 Livestock Excretion Rate</t>
  </si>
  <si>
    <t>L1.2.5 Livestock Excretion Rate</t>
  </si>
  <si>
    <t>L1.3.5 Livestock Excretion Rate</t>
  </si>
  <si>
    <t>L1.4.5 Livestock Excretion Rate</t>
  </si>
  <si>
    <t>L1.5.5 Livestock Excretion Rate</t>
  </si>
  <si>
    <t>L1.6.5 Livestock Excretion Rate</t>
  </si>
  <si>
    <r>
      <t>(VS</t>
    </r>
    <r>
      <rPr>
        <b/>
        <vertAlign val="subscript"/>
        <sz val="12"/>
        <color theme="0"/>
        <rFont val="Calibri"/>
        <family val="2"/>
        <scheme val="minor"/>
      </rPr>
      <t>L</t>
    </r>
    <r>
      <rPr>
        <b/>
        <sz val="12"/>
        <color theme="0"/>
        <rFont val="Calibri"/>
        <family val="2"/>
        <scheme val="minor"/>
      </rPr>
      <t>, dry kg/animal/day)</t>
    </r>
  </si>
  <si>
    <t>L1.1.6  Farm Name</t>
  </si>
  <si>
    <t>L1.2.6  Farm Name</t>
  </si>
  <si>
    <t>L1.3.6  Farm Name</t>
  </si>
  <si>
    <t>L1.4.6  Farm Name</t>
  </si>
  <si>
    <t>L1.5.6  Farm Name</t>
  </si>
  <si>
    <t>L1.6.6  Farm Name</t>
  </si>
  <si>
    <t>Total</t>
  </si>
  <si>
    <r>
      <t>Section L2: Baseline Methane Emissions from Other Storage/Treatment Systems (BE</t>
    </r>
    <r>
      <rPr>
        <b/>
        <vertAlign val="subscript"/>
        <sz val="16"/>
        <color theme="0"/>
        <rFont val="Calibri"/>
        <family val="2"/>
        <scheme val="minor"/>
      </rPr>
      <t>CH4,nAS</t>
    </r>
    <r>
      <rPr>
        <b/>
        <sz val="16"/>
        <color theme="0"/>
        <rFont val="Calibri"/>
        <family val="2"/>
        <scheme val="minor"/>
      </rPr>
      <t>) (Reference:[Equation 5.4 in LOP])</t>
    </r>
  </si>
  <si>
    <r>
      <t>L2.2  Methane Conversion Factor 
(MCF</t>
    </r>
    <r>
      <rPr>
        <b/>
        <vertAlign val="subscript"/>
        <sz val="12"/>
        <color theme="0"/>
        <rFont val="Calibri"/>
        <family val="2"/>
        <scheme val="minor"/>
      </rPr>
      <t>nAS</t>
    </r>
    <r>
      <rPr>
        <b/>
        <sz val="12"/>
        <color theme="0"/>
        <rFont val="Calibri"/>
        <family val="2"/>
        <scheme val="minor"/>
      </rPr>
      <t>, fraction)</t>
    </r>
  </si>
  <si>
    <r>
      <t>L2.3
Manure Managed in Other Storage/Treatment System (MS</t>
    </r>
    <r>
      <rPr>
        <b/>
        <vertAlign val="subscript"/>
        <sz val="12"/>
        <color theme="0"/>
        <rFont val="Calibri"/>
        <family val="2"/>
        <scheme val="minor"/>
      </rPr>
      <t>L,nAS</t>
    </r>
    <r>
      <rPr>
        <b/>
        <sz val="12"/>
        <color theme="0"/>
        <rFont val="Calibri"/>
        <family val="2"/>
        <scheme val="minor"/>
      </rPr>
      <t>, fraction)</t>
    </r>
  </si>
  <si>
    <t>Livestock Category (L)</t>
  </si>
  <si>
    <t>L2.1  Other storage/treatment Systems</t>
  </si>
  <si>
    <t>~~Select Storage/Treatment~~</t>
  </si>
  <si>
    <r>
      <t>Total (BE</t>
    </r>
    <r>
      <rPr>
        <b/>
        <vertAlign val="subscript"/>
        <sz val="12"/>
        <color theme="1"/>
        <rFont val="Calibri"/>
        <family val="2"/>
        <scheme val="minor"/>
      </rPr>
      <t>CH4,nAS</t>
    </r>
    <r>
      <rPr>
        <b/>
        <sz val="12"/>
        <color theme="1"/>
        <rFont val="Calibri"/>
        <family val="2"/>
        <scheme val="minor"/>
      </rPr>
      <t xml:space="preserve"> , MT CH</t>
    </r>
    <r>
      <rPr>
        <b/>
        <vertAlign val="subscript"/>
        <sz val="12"/>
        <color theme="1"/>
        <rFont val="Calibri"/>
        <family val="2"/>
        <scheme val="minor"/>
      </rPr>
      <t>4</t>
    </r>
    <r>
      <rPr>
        <b/>
        <sz val="12"/>
        <color theme="1"/>
        <rFont val="Calibri"/>
        <family val="2"/>
        <scheme val="minor"/>
      </rPr>
      <t>)</t>
    </r>
  </si>
  <si>
    <r>
      <t>L2.4
Baseline Methane Emissions, non-AS 
(BE</t>
    </r>
    <r>
      <rPr>
        <b/>
        <vertAlign val="subscript"/>
        <sz val="12"/>
        <rFont val="Calibri"/>
        <family val="2"/>
        <scheme val="minor"/>
      </rPr>
      <t>CH4,L,nAS</t>
    </r>
    <r>
      <rPr>
        <b/>
        <sz val="12"/>
        <rFont val="Calibri"/>
        <family val="2"/>
        <scheme val="minor"/>
      </rPr>
      <t xml:space="preserve"> , MT CH</t>
    </r>
    <r>
      <rPr>
        <b/>
        <vertAlign val="subscript"/>
        <sz val="12"/>
        <rFont val="Calibri"/>
        <family val="2"/>
        <scheme val="minor"/>
      </rPr>
      <t>4</t>
    </r>
    <r>
      <rPr>
        <b/>
        <sz val="12"/>
        <rFont val="Calibri"/>
        <family val="2"/>
        <scheme val="minor"/>
      </rPr>
      <t>)</t>
    </r>
  </si>
  <si>
    <r>
      <t>Section L3: Project Methane Emissions from Venting Events (</t>
    </r>
    <r>
      <rPr>
        <b/>
        <i/>
        <sz val="16"/>
        <color theme="0"/>
        <rFont val="Calibri"/>
        <family val="2"/>
        <scheme val="minor"/>
      </rPr>
      <t>CH</t>
    </r>
    <r>
      <rPr>
        <b/>
        <i/>
        <vertAlign val="subscript"/>
        <sz val="16"/>
        <color theme="0"/>
        <rFont val="Calibri"/>
        <family val="2"/>
        <scheme val="minor"/>
      </rPr>
      <t>4 vent</t>
    </r>
    <r>
      <rPr>
        <b/>
        <sz val="16"/>
        <color theme="0"/>
        <rFont val="Calibri"/>
        <family val="2"/>
        <scheme val="minor"/>
      </rPr>
      <t>) in the Biogas Control System (BCS) (Reference: [Equation 5.6-Venting in LOP])</t>
    </r>
  </si>
  <si>
    <t xml:space="preserve">L3.1
Reporting Month
(MM/YYYY)
</t>
  </si>
  <si>
    <t>Method 1</t>
  </si>
  <si>
    <t>Method 2</t>
  </si>
  <si>
    <t>L3.8
Project Methane Emissions from Venting</t>
  </si>
  <si>
    <r>
      <t>L3.2</t>
    </r>
    <r>
      <rPr>
        <sz val="12"/>
        <color theme="0"/>
        <rFont val="Calibri"/>
        <family val="2"/>
        <scheme val="minor"/>
      </rPr>
      <t xml:space="preserve">
</t>
    </r>
    <r>
      <rPr>
        <b/>
        <sz val="12"/>
        <color theme="0"/>
        <rFont val="Calibri"/>
        <family val="2"/>
        <scheme val="minor"/>
      </rPr>
      <t>Maximum Biogas Storage of the BCS System</t>
    </r>
  </si>
  <si>
    <t>L3.3
Average Daily Biogas Production for the 7 Days Preceding the Venting</t>
  </si>
  <si>
    <t>L3.4
Number of Days for the Uncontrolled Venting</t>
  </si>
  <si>
    <t>L3.5
Quarterly Methane Concentration</t>
  </si>
  <si>
    <t>L3.6 Vented Biogas Flow, (metered)</t>
  </si>
  <si>
    <t xml:space="preserve">L3.7
Biomethane Content in Vented Biogas (metered)
</t>
  </si>
  <si>
    <r>
      <t>MS</t>
    </r>
    <r>
      <rPr>
        <b/>
        <vertAlign val="subscript"/>
        <sz val="12"/>
        <color theme="0"/>
        <rFont val="Calibri"/>
        <family val="2"/>
        <scheme val="minor"/>
      </rPr>
      <t>BCS</t>
    </r>
    <r>
      <rPr>
        <b/>
        <sz val="12"/>
        <color theme="0"/>
        <rFont val="Calibri"/>
        <family val="2"/>
        <scheme val="minor"/>
      </rPr>
      <t xml:space="preserve"> (scf)</t>
    </r>
  </si>
  <si>
    <r>
      <t>F</t>
    </r>
    <r>
      <rPr>
        <b/>
        <vertAlign val="subscript"/>
        <sz val="12"/>
        <color theme="0"/>
        <rFont val="Calibri"/>
        <family val="2"/>
        <scheme val="minor"/>
      </rPr>
      <t>pw</t>
    </r>
    <r>
      <rPr>
        <b/>
        <sz val="12"/>
        <color theme="0"/>
        <rFont val="Calibri"/>
        <family val="2"/>
        <scheme val="minor"/>
      </rPr>
      <t xml:space="preserve"> (scf/day)</t>
    </r>
  </si>
  <si>
    <t>t (days)</t>
  </si>
  <si>
    <r>
      <t>C</t>
    </r>
    <r>
      <rPr>
        <b/>
        <vertAlign val="subscript"/>
        <sz val="12"/>
        <color theme="0"/>
        <rFont val="Calibri"/>
        <family val="2"/>
        <scheme val="minor"/>
      </rPr>
      <t>CH4</t>
    </r>
    <r>
      <rPr>
        <b/>
        <sz val="12"/>
        <color theme="0"/>
        <rFont val="Calibri"/>
        <family val="2"/>
        <scheme val="minor"/>
      </rPr>
      <t xml:space="preserve"> (fraction)</t>
    </r>
  </si>
  <si>
    <r>
      <t>Standard Cubic Feet 
@ 60</t>
    </r>
    <r>
      <rPr>
        <b/>
        <vertAlign val="superscript"/>
        <sz val="12"/>
        <color theme="0"/>
        <rFont val="Calibri"/>
        <family val="2"/>
        <scheme val="minor"/>
      </rPr>
      <t>o</t>
    </r>
    <r>
      <rPr>
        <b/>
        <sz val="12"/>
        <color theme="0"/>
        <rFont val="Calibri"/>
        <family val="2"/>
        <scheme val="minor"/>
      </rPr>
      <t>F, 1 atm</t>
    </r>
  </si>
  <si>
    <t>% Methane</t>
  </si>
  <si>
    <r>
      <t>CH</t>
    </r>
    <r>
      <rPr>
        <b/>
        <vertAlign val="subscript"/>
        <sz val="12"/>
        <color theme="0"/>
        <rFont val="Calibri"/>
        <family val="2"/>
        <scheme val="minor"/>
      </rPr>
      <t xml:space="preserve">4 vent  </t>
    </r>
    <r>
      <rPr>
        <b/>
        <sz val="12"/>
        <color theme="0"/>
        <rFont val="Calibri"/>
        <family val="2"/>
        <scheme val="minor"/>
      </rPr>
      <t>(MT)</t>
    </r>
  </si>
  <si>
    <r>
      <t>Section L4: Project Methane Emissions from the BCS Effluent Pond(s) (PE</t>
    </r>
    <r>
      <rPr>
        <b/>
        <vertAlign val="subscript"/>
        <sz val="16"/>
        <color theme="0"/>
        <rFont val="Calibri"/>
        <family val="2"/>
        <scheme val="minor"/>
      </rPr>
      <t>CH4,EP</t>
    </r>
    <r>
      <rPr>
        <b/>
        <sz val="16"/>
        <color theme="0"/>
        <rFont val="Calibri"/>
        <family val="2"/>
        <scheme val="minor"/>
      </rPr>
      <t>) (Reference: [Equation 5.8 in LOP])</t>
    </r>
  </si>
  <si>
    <t>L4.1
Livestock Category</t>
  </si>
  <si>
    <t>L4.2
Average Population</t>
  </si>
  <si>
    <t>L4.3
Livestock Excretion Rate</t>
  </si>
  <si>
    <r>
      <t>L4.4
Maximum CH</t>
    </r>
    <r>
      <rPr>
        <b/>
        <vertAlign val="subscript"/>
        <sz val="12"/>
        <color theme="0"/>
        <rFont val="Calibri"/>
        <family val="2"/>
        <scheme val="minor"/>
      </rPr>
      <t>4</t>
    </r>
    <r>
      <rPr>
        <b/>
        <sz val="12"/>
        <color theme="0"/>
        <rFont val="Calibri"/>
        <family val="2"/>
        <scheme val="minor"/>
      </rPr>
      <t xml:space="preserve"> Potential</t>
    </r>
  </si>
  <si>
    <t>L4.5 Fraction of Volatile Solids Sent to BCS System</t>
  </si>
  <si>
    <t>L4.6
Fraction of Volatile Solids Removed before Effluent is Sent to Effluent Ponds</t>
  </si>
  <si>
    <t>L4.7
Methane Potential of the VS to Effluent Ponds</t>
  </si>
  <si>
    <t>L4.8
Number of Reporting Days</t>
  </si>
  <si>
    <t>L4.9
Methane Conversion Factor</t>
  </si>
  <si>
    <t>L4.10
Project Methane Emission from Effluent Ponds</t>
  </si>
  <si>
    <t xml:space="preserve"> L</t>
  </si>
  <si>
    <r>
      <t>VS</t>
    </r>
    <r>
      <rPr>
        <b/>
        <vertAlign val="subscript"/>
        <sz val="12"/>
        <color theme="0"/>
        <rFont val="Calibri"/>
        <family val="2"/>
        <scheme val="minor"/>
      </rPr>
      <t>L</t>
    </r>
    <r>
      <rPr>
        <b/>
        <sz val="12"/>
        <color theme="0"/>
        <rFont val="Calibri"/>
        <family val="2"/>
        <scheme val="minor"/>
      </rPr>
      <t xml:space="preserve"> 
(dry kg/animal/day)</t>
    </r>
  </si>
  <si>
    <r>
      <t>B</t>
    </r>
    <r>
      <rPr>
        <b/>
        <vertAlign val="subscript"/>
        <sz val="12"/>
        <color theme="0"/>
        <rFont val="Calibri"/>
        <family val="2"/>
        <scheme val="minor"/>
      </rPr>
      <t>o,L</t>
    </r>
    <r>
      <rPr>
        <b/>
        <sz val="12"/>
        <color theme="0"/>
        <rFont val="Calibri"/>
        <family val="2"/>
        <scheme val="minor"/>
      </rPr>
      <t xml:space="preserve"> 
(m</t>
    </r>
    <r>
      <rPr>
        <b/>
        <vertAlign val="superscript"/>
        <sz val="12"/>
        <color theme="0"/>
        <rFont val="Calibri"/>
        <family val="2"/>
        <scheme val="minor"/>
      </rPr>
      <t>3</t>
    </r>
    <r>
      <rPr>
        <b/>
        <sz val="12"/>
        <color theme="0"/>
        <rFont val="Calibri"/>
        <family val="2"/>
        <scheme val="minor"/>
      </rPr>
      <t xml:space="preserve"> CH</t>
    </r>
    <r>
      <rPr>
        <b/>
        <vertAlign val="subscript"/>
        <sz val="12"/>
        <color theme="0"/>
        <rFont val="Calibri"/>
        <family val="2"/>
        <scheme val="minor"/>
      </rPr>
      <t>4</t>
    </r>
    <r>
      <rPr>
        <b/>
        <sz val="12"/>
        <color theme="0"/>
        <rFont val="Calibri"/>
        <family val="2"/>
        <scheme val="minor"/>
      </rPr>
      <t>/kg VS)</t>
    </r>
  </si>
  <si>
    <r>
      <t>MS</t>
    </r>
    <r>
      <rPr>
        <b/>
        <vertAlign val="subscript"/>
        <sz val="12"/>
        <color theme="0"/>
        <rFont val="Calibri"/>
        <family val="2"/>
        <scheme val="minor"/>
      </rPr>
      <t>L,BCS</t>
    </r>
    <r>
      <rPr>
        <b/>
        <sz val="12"/>
        <color theme="0"/>
        <rFont val="Calibri"/>
        <family val="2"/>
        <scheme val="minor"/>
      </rPr>
      <t xml:space="preserve"> 
(fraction)</t>
    </r>
  </si>
  <si>
    <r>
      <t>VS</t>
    </r>
    <r>
      <rPr>
        <b/>
        <vertAlign val="subscript"/>
        <sz val="12"/>
        <color theme="0"/>
        <rFont val="Calibri"/>
        <family val="2"/>
        <scheme val="minor"/>
      </rPr>
      <t>ep,L</t>
    </r>
    <r>
      <rPr>
        <b/>
        <sz val="12"/>
        <color theme="0"/>
        <rFont val="Calibri"/>
        <family val="2"/>
        <scheme val="minor"/>
      </rPr>
      <t xml:space="preserve"> 
(m</t>
    </r>
    <r>
      <rPr>
        <b/>
        <vertAlign val="superscript"/>
        <sz val="12"/>
        <color theme="0"/>
        <rFont val="Calibri"/>
        <family val="2"/>
        <scheme val="minor"/>
      </rPr>
      <t>3</t>
    </r>
    <r>
      <rPr>
        <b/>
        <sz val="12"/>
        <color theme="0"/>
        <rFont val="Calibri"/>
        <family val="2"/>
        <scheme val="minor"/>
      </rPr>
      <t xml:space="preserve"> CH</t>
    </r>
    <r>
      <rPr>
        <b/>
        <vertAlign val="subscript"/>
        <sz val="12"/>
        <color theme="0"/>
        <rFont val="Calibri"/>
        <family val="2"/>
        <scheme val="minor"/>
      </rPr>
      <t>4</t>
    </r>
    <r>
      <rPr>
        <b/>
        <sz val="12"/>
        <color theme="0"/>
        <rFont val="Calibri"/>
        <family val="2"/>
        <scheme val="minor"/>
      </rPr>
      <t>/day)</t>
    </r>
  </si>
  <si>
    <r>
      <t>RD</t>
    </r>
    <r>
      <rPr>
        <b/>
        <vertAlign val="subscript"/>
        <sz val="12"/>
        <color theme="0"/>
        <rFont val="Calibri"/>
        <family val="2"/>
        <scheme val="minor"/>
      </rPr>
      <t>rp</t>
    </r>
    <r>
      <rPr>
        <b/>
        <sz val="12"/>
        <color theme="0"/>
        <rFont val="Calibri"/>
        <family val="2"/>
        <scheme val="minor"/>
      </rPr>
      <t xml:space="preserve"> 
(days)</t>
    </r>
  </si>
  <si>
    <r>
      <t>MCF</t>
    </r>
    <r>
      <rPr>
        <b/>
        <vertAlign val="subscript"/>
        <sz val="12"/>
        <color theme="0"/>
        <rFont val="Calibri"/>
        <family val="2"/>
        <scheme val="minor"/>
      </rPr>
      <t xml:space="preserve">ep 
</t>
    </r>
    <r>
      <rPr>
        <b/>
        <sz val="12"/>
        <color theme="0"/>
        <rFont val="Calibri"/>
        <family val="2"/>
        <scheme val="minor"/>
      </rPr>
      <t>(fraction)</t>
    </r>
  </si>
  <si>
    <r>
      <t>PE</t>
    </r>
    <r>
      <rPr>
        <b/>
        <vertAlign val="subscript"/>
        <sz val="12"/>
        <color theme="0"/>
        <rFont val="Calibri"/>
        <family val="2"/>
        <scheme val="minor"/>
      </rPr>
      <t xml:space="preserve">CH4,EP </t>
    </r>
    <r>
      <rPr>
        <b/>
        <sz val="12"/>
        <color theme="0"/>
        <rFont val="Calibri"/>
        <family val="2"/>
        <scheme val="minor"/>
      </rPr>
      <t xml:space="preserve">
(MT CH</t>
    </r>
    <r>
      <rPr>
        <b/>
        <vertAlign val="subscript"/>
        <sz val="12"/>
        <color theme="0"/>
        <rFont val="Calibri"/>
        <family val="2"/>
        <scheme val="minor"/>
      </rPr>
      <t>4</t>
    </r>
    <r>
      <rPr>
        <b/>
        <sz val="12"/>
        <color theme="0"/>
        <rFont val="Calibri"/>
        <family val="2"/>
        <scheme val="minor"/>
      </rPr>
      <t>)</t>
    </r>
  </si>
  <si>
    <r>
      <t xml:space="preserve">Section L5: Project Methane Emissions from </t>
    </r>
    <r>
      <rPr>
        <b/>
        <i/>
        <sz val="16"/>
        <color theme="0"/>
        <rFont val="Calibri"/>
        <family val="2"/>
        <scheme val="minor"/>
      </rPr>
      <t>Non</t>
    </r>
    <r>
      <rPr>
        <b/>
        <sz val="16"/>
        <color theme="0"/>
        <rFont val="Calibri"/>
        <family val="2"/>
        <scheme val="minor"/>
      </rPr>
      <t>-BCS Related Sources (PE</t>
    </r>
    <r>
      <rPr>
        <b/>
        <vertAlign val="subscript"/>
        <sz val="16"/>
        <color theme="0"/>
        <rFont val="Calibri"/>
        <family val="2"/>
        <scheme val="minor"/>
      </rPr>
      <t>CH4,nBCS</t>
    </r>
    <r>
      <rPr>
        <b/>
        <sz val="16"/>
        <color theme="0"/>
        <rFont val="Calibri"/>
        <family val="2"/>
        <scheme val="minor"/>
      </rPr>
      <t>) (Reference: [Equation 5.9 in LOP])</t>
    </r>
  </si>
  <si>
    <r>
      <t>L5.2  Methane Conversion Factor 
(MCF</t>
    </r>
    <r>
      <rPr>
        <b/>
        <vertAlign val="subscript"/>
        <sz val="12"/>
        <color theme="0"/>
        <rFont val="Calibri"/>
        <family val="2"/>
        <scheme val="minor"/>
      </rPr>
      <t>S</t>
    </r>
    <r>
      <rPr>
        <b/>
        <sz val="12"/>
        <color theme="0"/>
        <rFont val="Calibri"/>
        <family val="2"/>
        <scheme val="minor"/>
      </rPr>
      <t>, fraction)</t>
    </r>
  </si>
  <si>
    <r>
      <t>L5.3
Manure/Effluent Managed in Non-BCS (Other) Systems (MS</t>
    </r>
    <r>
      <rPr>
        <b/>
        <vertAlign val="subscript"/>
        <sz val="12"/>
        <color theme="0"/>
        <rFont val="Calibri"/>
        <family val="2"/>
        <scheme val="minor"/>
      </rPr>
      <t>L,S</t>
    </r>
    <r>
      <rPr>
        <b/>
        <sz val="12"/>
        <color theme="0"/>
        <rFont val="Calibri"/>
        <family val="2"/>
        <scheme val="minor"/>
      </rPr>
      <t>, fraction)</t>
    </r>
  </si>
  <si>
    <t>L5.1.a  Non-BCS Storage/Treatment Systems for Manure</t>
  </si>
  <si>
    <t>L5.1.b   Other Storage/Treatment Systems for Effluent</t>
  </si>
  <si>
    <r>
      <t>L5.4  
CH</t>
    </r>
    <r>
      <rPr>
        <b/>
        <vertAlign val="subscript"/>
        <sz val="12"/>
        <color theme="0"/>
        <rFont val="Calibri"/>
        <family val="2"/>
        <scheme val="minor"/>
      </rPr>
      <t>4</t>
    </r>
    <r>
      <rPr>
        <b/>
        <sz val="12"/>
        <color theme="0"/>
        <rFont val="Calibri"/>
        <family val="2"/>
        <scheme val="minor"/>
      </rPr>
      <t xml:space="preserve"> Emission Factor, non-BCS 
(EF</t>
    </r>
    <r>
      <rPr>
        <b/>
        <vertAlign val="subscript"/>
        <sz val="12"/>
        <color theme="0"/>
        <rFont val="Calibri"/>
        <family val="2"/>
        <scheme val="minor"/>
      </rPr>
      <t>CH4,L,nBCSs</t>
    </r>
    <r>
      <rPr>
        <b/>
        <sz val="12"/>
        <color theme="0"/>
        <rFont val="Calibri"/>
        <family val="2"/>
        <scheme val="minor"/>
      </rPr>
      <t xml:space="preserve"> , kg CH</t>
    </r>
    <r>
      <rPr>
        <b/>
        <vertAlign val="subscript"/>
        <sz val="12"/>
        <color theme="0"/>
        <rFont val="Calibri"/>
        <family val="2"/>
        <scheme val="minor"/>
      </rPr>
      <t>4</t>
    </r>
    <r>
      <rPr>
        <b/>
        <sz val="12"/>
        <color theme="0"/>
        <rFont val="Calibri"/>
        <family val="2"/>
        <scheme val="minor"/>
      </rPr>
      <t>/head)</t>
    </r>
  </si>
  <si>
    <r>
      <t>Total
(PE</t>
    </r>
    <r>
      <rPr>
        <b/>
        <vertAlign val="subscript"/>
        <sz val="12"/>
        <color theme="1"/>
        <rFont val="Calibri"/>
        <family val="2"/>
        <scheme val="minor"/>
      </rPr>
      <t>CH4,non-BCS</t>
    </r>
    <r>
      <rPr>
        <b/>
        <sz val="12"/>
        <color theme="1"/>
        <rFont val="Calibri"/>
        <family val="2"/>
        <scheme val="minor"/>
      </rPr>
      <t xml:space="preserve"> , MT CH</t>
    </r>
    <r>
      <rPr>
        <b/>
        <vertAlign val="subscript"/>
        <sz val="12"/>
        <color theme="1"/>
        <rFont val="Calibri"/>
        <family val="2"/>
        <scheme val="minor"/>
      </rPr>
      <t>4</t>
    </r>
    <r>
      <rPr>
        <b/>
        <sz val="12"/>
        <color theme="1"/>
        <rFont val="Calibri"/>
        <family val="2"/>
        <scheme val="minor"/>
      </rPr>
      <t>)</t>
    </r>
  </si>
  <si>
    <r>
      <t>L5.5
Project Methane Emissions, non-BSC 
(PE</t>
    </r>
    <r>
      <rPr>
        <b/>
        <vertAlign val="subscript"/>
        <sz val="12"/>
        <color theme="0"/>
        <rFont val="Calibri"/>
        <family val="2"/>
        <scheme val="minor"/>
      </rPr>
      <t>CH4,L,nBCS</t>
    </r>
    <r>
      <rPr>
        <b/>
        <sz val="12"/>
        <color theme="0"/>
        <rFont val="Calibri"/>
        <family val="2"/>
        <scheme val="minor"/>
      </rPr>
      <t xml:space="preserve"> , MT CH</t>
    </r>
    <r>
      <rPr>
        <b/>
        <vertAlign val="subscript"/>
        <sz val="12"/>
        <color theme="0"/>
        <rFont val="Calibri"/>
        <family val="2"/>
        <scheme val="minor"/>
      </rPr>
      <t>4</t>
    </r>
    <r>
      <rPr>
        <b/>
        <sz val="12"/>
        <color theme="0"/>
        <rFont val="Calibri"/>
        <family val="2"/>
        <scheme val="minor"/>
      </rPr>
      <t>)</t>
    </r>
  </si>
  <si>
    <t>Calculations of the Avoided Emissions</t>
  </si>
  <si>
    <t>Section P1. Results from the "Manure-to-Biogas (LOP Inputs)" tab</t>
  </si>
  <si>
    <t>P1.1  Select Digester Type</t>
  </si>
  <si>
    <t>Covered Lagoon</t>
  </si>
  <si>
    <t>P1.2 Reporting Month
(MM/YYYY)</t>
  </si>
  <si>
    <r>
      <t>P1.3 Baseline methane emissions (BE</t>
    </r>
    <r>
      <rPr>
        <b/>
        <vertAlign val="subscript"/>
        <sz val="12"/>
        <color theme="0"/>
        <rFont val="Calibri"/>
        <family val="2"/>
        <scheme val="minor"/>
      </rPr>
      <t>CH4 Mod</t>
    </r>
    <r>
      <rPr>
        <b/>
        <sz val="12"/>
        <color theme="0"/>
        <rFont val="Calibri"/>
        <family val="2"/>
        <scheme val="minor"/>
      </rPr>
      <t>)</t>
    </r>
  </si>
  <si>
    <t>P1.4 Project methane emissions</t>
  </si>
  <si>
    <r>
      <t>P1.4.a Venting methane (</t>
    </r>
    <r>
      <rPr>
        <b/>
        <i/>
        <sz val="12"/>
        <color theme="0"/>
        <rFont val="Calibri"/>
        <family val="2"/>
        <scheme val="minor"/>
      </rPr>
      <t>CH</t>
    </r>
    <r>
      <rPr>
        <b/>
        <i/>
        <vertAlign val="subscript"/>
        <sz val="12"/>
        <color theme="0"/>
        <rFont val="Calibri"/>
        <family val="2"/>
        <scheme val="minor"/>
      </rPr>
      <t>4 vent</t>
    </r>
    <r>
      <rPr>
        <b/>
        <sz val="12"/>
        <color theme="0"/>
        <rFont val="Calibri"/>
        <family val="2"/>
        <scheme val="minor"/>
      </rPr>
      <t>)</t>
    </r>
  </si>
  <si>
    <r>
      <t>P1.4.b Effluent ponds methane (PE</t>
    </r>
    <r>
      <rPr>
        <b/>
        <vertAlign val="subscript"/>
        <sz val="12"/>
        <color theme="0"/>
        <rFont val="Calibri"/>
        <family val="2"/>
        <scheme val="minor"/>
      </rPr>
      <t>CH4,EP</t>
    </r>
    <r>
      <rPr>
        <b/>
        <sz val="12"/>
        <color theme="0"/>
        <rFont val="Calibri"/>
        <family val="2"/>
        <scheme val="minor"/>
      </rPr>
      <t>)</t>
    </r>
  </si>
  <si>
    <r>
      <t>P1.4.c Storage/Treatment methane (PE</t>
    </r>
    <r>
      <rPr>
        <b/>
        <vertAlign val="subscript"/>
        <sz val="12"/>
        <color theme="0"/>
        <rFont val="Calibri"/>
        <family val="2"/>
        <scheme val="minor"/>
      </rPr>
      <t>CH4,nBCS</t>
    </r>
    <r>
      <rPr>
        <b/>
        <sz val="12"/>
        <color theme="0"/>
        <rFont val="Calibri"/>
        <family val="2"/>
        <scheme val="minor"/>
      </rPr>
      <t>)</t>
    </r>
  </si>
  <si>
    <t>P1.4.d Digester leakage</t>
  </si>
  <si>
    <t>Metric Ton</t>
  </si>
  <si>
    <t>Monthly Average</t>
  </si>
  <si>
    <t>Section P2. Avoided CH4 Emissions Calculation Detail</t>
  </si>
  <si>
    <t>Section P3. Avoided CO2 Emissions Calculation Detail</t>
  </si>
  <si>
    <t>Unit (of Methane)</t>
  </si>
  <si>
    <t>Subtotal Project Methane emissions (Calculation)</t>
  </si>
  <si>
    <t>MT CH4</t>
  </si>
  <si>
    <t>Avoided CO2</t>
  </si>
  <si>
    <t>MT CO2</t>
  </si>
  <si>
    <t>Net methane emissions avoided  (Calculation)</t>
  </si>
  <si>
    <t>This is avoided emissions from carbon that would not convert to CH4 but CO2 in the baseline case. This carbon would release as CH4 in the project scenario. 
(Excess CH4 x 44 g/mol CO2:16 g/mol CH4)</t>
  </si>
  <si>
    <t>Metered Methane Quantities (project monitoring parameter, metered)</t>
  </si>
  <si>
    <t>Total methane produced from digester (metered)</t>
  </si>
  <si>
    <t>Methane at inlet to cleanup/upgrading facility</t>
  </si>
  <si>
    <t>Directly flared biogas (excluded from LCFS pathway system boundary)</t>
  </si>
  <si>
    <t>Biomethane Sales Gas (delivered to pipeline/qualifying end use)</t>
  </si>
  <si>
    <t>RNG in tail gas flared (from upgrading)</t>
  </si>
  <si>
    <t>RNG associated with onsite electricity production</t>
  </si>
  <si>
    <t>Avoided Methane and CO2 calculations</t>
  </si>
  <si>
    <t>%  alloc. factor for CH4 avoided - RNG (vehicle use)</t>
  </si>
  <si>
    <t>%  alloc. factor for diverted  CO2 - RNG</t>
  </si>
  <si>
    <t xml:space="preserve">Net CH4 avoided, allocated to RNG </t>
  </si>
  <si>
    <t>Net allocated MT CH4 avoided per MT RNG</t>
  </si>
  <si>
    <t>MT avoided/MT produced</t>
  </si>
  <si>
    <t>Diverted CO2 allocated to RNG (vehicle use)</t>
  </si>
  <si>
    <t>Avoided (g CH4) per MJ RNG</t>
  </si>
  <si>
    <t>g CH4/MJ</t>
  </si>
  <si>
    <t>Diverted CO2 emissions from land application</t>
  </si>
  <si>
    <t>MT CO2/MT CH4 produced</t>
  </si>
  <si>
    <t>Avoided (g CO2e) per RNG output:</t>
  </si>
  <si>
    <t>g CO2e/MJ</t>
  </si>
  <si>
    <t>Tier 1 CI Calculator for
Dairy and Swine Manure Biomethane</t>
  </si>
  <si>
    <t>Pathway Summary and Estimated CI (g/MJ)</t>
  </si>
  <si>
    <t>CNG CI</t>
  </si>
  <si>
    <t>LNG CI</t>
  </si>
  <si>
    <t>L-CNG CI</t>
  </si>
  <si>
    <t>Section  1. Applicant Information</t>
  </si>
  <si>
    <t>1.1  Company Name and ID 
Ex. Applicant, LLC (CXXXX)</t>
  </si>
  <si>
    <t>1.6  CNG Dispensing Station(s) Location (Street, City, State)</t>
  </si>
  <si>
    <t xml:space="preserve">1.11  Names of All Intermediate Facilities (e.g., manure sources not co-located with the biogas upgrading facility) </t>
  </si>
  <si>
    <t>1.2  Facility Name and ID
Ex. Production, LLC (F0XXXX)</t>
  </si>
  <si>
    <t>1.7 LNG Dispensing Station(s) Location (Street, City, State)</t>
  </si>
  <si>
    <t>1.3  Facility Physical Address
(Upgrading facility for RNG)</t>
  </si>
  <si>
    <t>1.8 LNG and/or L-CNG Dispensing Station(s) Location (Street, City, State)</t>
  </si>
  <si>
    <t>1.4.a  Digester Location 
(Street, City)</t>
  </si>
  <si>
    <t>1.9 Digester Type</t>
  </si>
  <si>
    <t>1.4.b  Digester Location 
(State)</t>
  </si>
  <si>
    <t>California</t>
  </si>
  <si>
    <t>1.5  LNG Liquefaction Facility Location (Street, City, State)</t>
  </si>
  <si>
    <r>
      <t>1.10 Average Annual Temperature (</t>
    </r>
    <r>
      <rPr>
        <b/>
        <sz val="12"/>
        <color theme="0"/>
        <rFont val="Calibri"/>
        <family val="2"/>
      </rPr>
      <t>°C)</t>
    </r>
  </si>
  <si>
    <t>Section 2. Biomethane Production Data</t>
  </si>
  <si>
    <t>Section 3. LNG and L-CNG Production and Transport Data</t>
  </si>
  <si>
    <t>Data Years</t>
  </si>
  <si>
    <t>2.1  Select Electricity Mix for Biomethane</t>
  </si>
  <si>
    <t>CAMX</t>
  </si>
  <si>
    <t>2.2a   Provisional Pathway?</t>
  </si>
  <si>
    <t xml:space="preserve">2.2b  Number of Project Reporting Month </t>
  </si>
  <si>
    <t>3.1 LNG, L-CNG Facility Name and ID</t>
  </si>
  <si>
    <t xml:space="preserve">Process </t>
  </si>
  <si>
    <t>Raw Biogas Production</t>
  </si>
  <si>
    <t>Flared Biogas</t>
  </si>
  <si>
    <t>Raw Biogas Feedstock 
(at Inlet to cleanup/upgrading)</t>
  </si>
  <si>
    <t>Baseline energy use</t>
  </si>
  <si>
    <t>Digester energy use (Project)</t>
  </si>
  <si>
    <t xml:space="preserve"> Upgrading and compression energy use (Project)</t>
  </si>
  <si>
    <t>On-site Electricity Production From RNG</t>
  </si>
  <si>
    <t>Biomethane Transport</t>
  </si>
  <si>
    <t>3.2 Transport Distance from Liquefaction Plant to station by HD Truck (miles)</t>
  </si>
  <si>
    <t xml:space="preserve">2.3 
Reporting Month
</t>
  </si>
  <si>
    <t>2.4 
 Total Raw Biogas Flow, (metered)</t>
  </si>
  <si>
    <t xml:space="preserve">2.5
Biomethane Content 
</t>
  </si>
  <si>
    <t>2.6 
Flared Biogas Flow, (metered)</t>
  </si>
  <si>
    <t xml:space="preserve">2.7
Biomethane Content 
</t>
  </si>
  <si>
    <t>2.8
 Raw Biogas Flow to Upgrading, (metered)</t>
  </si>
  <si>
    <t xml:space="preserve">2.9
Biomethane Content 
</t>
  </si>
  <si>
    <t>2.10 
Diesel (baseline manure transport and handling)</t>
  </si>
  <si>
    <t>2.11 
 Utility Sourced NG (baseline)</t>
  </si>
  <si>
    <t>2.12 
Grid Electricity (baseline manure pumping and solids separation)</t>
  </si>
  <si>
    <t>2.13 
Grid Electricity (for digester )</t>
  </si>
  <si>
    <t>2.14
Raw Biogas (for digester )</t>
  </si>
  <si>
    <t>2.15
Biomethane (for digester )</t>
  </si>
  <si>
    <t>2.16
Utility Sourced NG (for digester)</t>
  </si>
  <si>
    <t>2.17
Diesel (digester project manure transport and handling)</t>
  </si>
  <si>
    <t>2.18
Other Fuel Used
(for digester )</t>
  </si>
  <si>
    <t>2.19
Utility Sourced NG (upgrading and compression)</t>
  </si>
  <si>
    <t>2.20
Raw Biogas (as Process Fuel for upgrading and compression)</t>
  </si>
  <si>
    <t>2.21
Biomethane (as Process Fuel for upgrading and compression)</t>
  </si>
  <si>
    <t xml:space="preserve"> 2.22
On-Site Electricity from Biogas (upgrading and compression)</t>
  </si>
  <si>
    <t xml:space="preserve">2.23
Grid Electricity (upgrading and compression) </t>
  </si>
  <si>
    <t>2.24
Diesel 
(upgrading and compression)</t>
  </si>
  <si>
    <t>2.25
Other fuel used 
(upgrading and compression)</t>
  </si>
  <si>
    <t>2.26
Buy back fossil NG to boost Btu prior to pipeline injection</t>
  </si>
  <si>
    <t>2.27
Propane used (boost Btu prior to pipeline injection, other purpose)</t>
  </si>
  <si>
    <t>2.28
Fuel used for Biomethane transport</t>
  </si>
  <si>
    <t>2.29
Flared biomethane including tail gas from upgrading, (metered)</t>
  </si>
  <si>
    <t xml:space="preserve">2.30
Biomethane Content in Flared Gas
</t>
  </si>
  <si>
    <t>2.31
Biomethane Injected into Pipeline for Transportation Fuel Production (metered), (subtract buyback NG and Propane if used to boost Btu)</t>
  </si>
  <si>
    <t>2.32
Biomethane to Electricity Production</t>
  </si>
  <si>
    <t>2.33
 On-site Electricity Production</t>
  </si>
  <si>
    <t>2.34
Export Electricity</t>
  </si>
  <si>
    <t>2.35
NG pipeline Transmission</t>
  </si>
  <si>
    <r>
      <t>3.3 Liquefaction EF (gCO</t>
    </r>
    <r>
      <rPr>
        <b/>
        <vertAlign val="subscript"/>
        <sz val="12"/>
        <color theme="0"/>
        <rFont val="Calibri"/>
        <family val="2"/>
      </rPr>
      <t>2</t>
    </r>
    <r>
      <rPr>
        <b/>
        <sz val="12"/>
        <color theme="0"/>
        <rFont val="Calibri"/>
        <family val="2"/>
      </rPr>
      <t>e/gallon LNG)</t>
    </r>
  </si>
  <si>
    <r>
      <t>Standard Cubic Feet @ 60</t>
    </r>
    <r>
      <rPr>
        <b/>
        <vertAlign val="superscript"/>
        <sz val="12"/>
        <color theme="0"/>
        <rFont val="Calibri"/>
        <family val="2"/>
        <scheme val="minor"/>
      </rPr>
      <t>o</t>
    </r>
    <r>
      <rPr>
        <b/>
        <sz val="12"/>
        <color theme="0"/>
        <rFont val="Calibri"/>
        <family val="2"/>
        <scheme val="minor"/>
      </rPr>
      <t>F, 1 atm</t>
    </r>
  </si>
  <si>
    <t>MMBtu, HHV</t>
  </si>
  <si>
    <t>MMBtu, LHV</t>
  </si>
  <si>
    <t>User-Defined Fuel-1 (MJ)</t>
  </si>
  <si>
    <t>User-Defined Fuel-2 (MJ)</t>
  </si>
  <si>
    <t>User-Defined Fuel-3 (MJ)</t>
  </si>
  <si>
    <t>Miles</t>
  </si>
  <si>
    <t>3.4 LNG Truck Type</t>
  </si>
  <si>
    <t>Boil-Off Recovery Equipped</t>
  </si>
  <si>
    <t>3.5 Dispensed LNG L-CNG (MMBtu, LHV)</t>
  </si>
  <si>
    <r>
      <rPr>
        <b/>
        <sz val="11"/>
        <color theme="0"/>
        <rFont val="Calibri"/>
        <family val="2"/>
        <scheme val="minor"/>
      </rPr>
      <t xml:space="preserve">2.35.a  </t>
    </r>
    <r>
      <rPr>
        <sz val="11"/>
        <color theme="0"/>
        <rFont val="Calibri"/>
        <family val="2"/>
        <scheme val="minor"/>
      </rPr>
      <t xml:space="preserve">From upgrading facility to </t>
    </r>
    <r>
      <rPr>
        <b/>
        <sz val="11"/>
        <color theme="0"/>
        <rFont val="Calibri"/>
        <family val="2"/>
        <scheme val="minor"/>
      </rPr>
      <t>CNG station.</t>
    </r>
  </si>
  <si>
    <r>
      <rPr>
        <b/>
        <sz val="11"/>
        <color theme="0"/>
        <rFont val="Calibri"/>
        <family val="2"/>
        <scheme val="minor"/>
      </rPr>
      <t xml:space="preserve">2.35.b </t>
    </r>
    <r>
      <rPr>
        <sz val="11"/>
        <color theme="0"/>
        <rFont val="Calibri"/>
        <family val="2"/>
        <scheme val="minor"/>
      </rPr>
      <t xml:space="preserve"> From upgrading facility to </t>
    </r>
    <r>
      <rPr>
        <b/>
        <sz val="11"/>
        <color theme="0"/>
        <rFont val="Calibri"/>
        <family val="2"/>
        <scheme val="minor"/>
      </rPr>
      <t>LNG plant</t>
    </r>
  </si>
  <si>
    <r>
      <rPr>
        <b/>
        <sz val="11"/>
        <color theme="0"/>
        <rFont val="Calibri"/>
        <family val="2"/>
        <scheme val="minor"/>
      </rPr>
      <t xml:space="preserve">2.35.c </t>
    </r>
    <r>
      <rPr>
        <sz val="11"/>
        <color theme="0"/>
        <rFont val="Calibri"/>
        <family val="2"/>
        <scheme val="minor"/>
      </rPr>
      <t xml:space="preserve"> Percentage of injected CNG that is converted into LNG</t>
    </r>
  </si>
  <si>
    <t xml:space="preserve">Total </t>
  </si>
  <si>
    <t>Methane, SCF</t>
  </si>
  <si>
    <t>2.37 Fugitive methane from upgrading (%)</t>
  </si>
  <si>
    <t>EF Units</t>
  </si>
  <si>
    <t>gCO2e/gallon</t>
  </si>
  <si>
    <t>gCO2e/MMBtu</t>
  </si>
  <si>
    <t>gCO2e/kWh</t>
  </si>
  <si>
    <r>
      <t>gCO</t>
    </r>
    <r>
      <rPr>
        <vertAlign val="subscript"/>
        <sz val="11"/>
        <color theme="0"/>
        <rFont val="Calibri"/>
        <family val="2"/>
        <scheme val="minor"/>
      </rPr>
      <t>2</t>
    </r>
    <r>
      <rPr>
        <sz val="11"/>
        <color theme="0"/>
        <rFont val="Calibri"/>
        <family val="2"/>
        <scheme val="minor"/>
      </rPr>
      <t>e/kWh</t>
    </r>
  </si>
  <si>
    <t>2.38 Maximum available biomethane for dispensing   (MMBtu, LHV)</t>
  </si>
  <si>
    <t>EF</t>
  </si>
  <si>
    <r>
      <t>GHG Emissions, gCO</t>
    </r>
    <r>
      <rPr>
        <b/>
        <vertAlign val="subscript"/>
        <sz val="11"/>
        <rFont val="Calibri"/>
        <family val="2"/>
        <scheme val="minor"/>
      </rPr>
      <t>2</t>
    </r>
    <r>
      <rPr>
        <b/>
        <sz val="11"/>
        <rFont val="Calibri"/>
        <family val="2"/>
        <scheme val="minor"/>
      </rPr>
      <t>e</t>
    </r>
  </si>
  <si>
    <t>Section 4. CI Calculation Details</t>
  </si>
  <si>
    <t>Manure to CNG, LNG, L-CNG</t>
  </si>
  <si>
    <r>
      <t>GHG emissions CO</t>
    </r>
    <r>
      <rPr>
        <b/>
        <vertAlign val="subscript"/>
        <sz val="11"/>
        <color theme="0"/>
        <rFont val="Calibri"/>
        <family val="2"/>
        <scheme val="minor"/>
      </rPr>
      <t>2</t>
    </r>
    <r>
      <rPr>
        <b/>
        <sz val="11"/>
        <color theme="0"/>
        <rFont val="Calibri"/>
        <family val="2"/>
        <scheme val="minor"/>
      </rPr>
      <t>e</t>
    </r>
  </si>
  <si>
    <r>
      <t>CI, gCO</t>
    </r>
    <r>
      <rPr>
        <b/>
        <vertAlign val="subscript"/>
        <sz val="11"/>
        <color theme="0"/>
        <rFont val="Calibri"/>
        <family val="2"/>
        <scheme val="minor"/>
      </rPr>
      <t>2</t>
    </r>
    <r>
      <rPr>
        <b/>
        <sz val="11"/>
        <color theme="0"/>
        <rFont val="Calibri"/>
        <family val="2"/>
        <scheme val="minor"/>
      </rPr>
      <t>e/MMBtu</t>
    </r>
  </si>
  <si>
    <r>
      <t>gCO</t>
    </r>
    <r>
      <rPr>
        <b/>
        <vertAlign val="subscript"/>
        <sz val="11"/>
        <color theme="0"/>
        <rFont val="Calibri"/>
        <family val="2"/>
        <scheme val="minor"/>
      </rPr>
      <t>2</t>
    </r>
    <r>
      <rPr>
        <b/>
        <sz val="11"/>
        <color theme="0"/>
        <rFont val="Calibri"/>
        <family val="2"/>
        <scheme val="minor"/>
      </rPr>
      <t>e/MJ</t>
    </r>
  </si>
  <si>
    <t>Raw Biogas Production-Digester</t>
  </si>
  <si>
    <t>Net-Diesel</t>
  </si>
  <si>
    <t>Net-Grid electricity</t>
  </si>
  <si>
    <t>Utility source NG</t>
  </si>
  <si>
    <t>Raw Biogas (heat)</t>
  </si>
  <si>
    <t>Biomethane (heat)</t>
  </si>
  <si>
    <t>Subtotal</t>
  </si>
  <si>
    <t>Biogas upgrading &amp; Compression &amp; Biomethane transport</t>
  </si>
  <si>
    <t>Grid electricity</t>
  </si>
  <si>
    <t>Raw Biogas (process fuel)</t>
  </si>
  <si>
    <t>Biomethane (process fuel)</t>
  </si>
  <si>
    <t>Onsite electricity from biomethane</t>
  </si>
  <si>
    <t>Biomethane (flaring)</t>
  </si>
  <si>
    <t>Feed Loss (fugitive methane)</t>
  </si>
  <si>
    <t>US Average</t>
  </si>
  <si>
    <t>by pipeline to LNG Plant</t>
  </si>
  <si>
    <t>by pipeline to CNG Plant</t>
  </si>
  <si>
    <t>LNG Production</t>
  </si>
  <si>
    <t>Liquefaction Process</t>
  </si>
  <si>
    <t>LNG Transport and Distribution</t>
  </si>
  <si>
    <t xml:space="preserve">LNG Truck </t>
  </si>
  <si>
    <t>LNG T&amp;D Fugitives</t>
  </si>
  <si>
    <t>L-CNG and CNG Production</t>
  </si>
  <si>
    <t>CI for Compression of CNG (standard Value)</t>
  </si>
  <si>
    <t>Reciprocating engine emissions</t>
  </si>
  <si>
    <t>CNG Vehicles</t>
  </si>
  <si>
    <t>LNG Vehicles</t>
  </si>
  <si>
    <t>Credits</t>
  </si>
  <si>
    <t>Methane avoided</t>
  </si>
  <si>
    <t>CO2 diverted</t>
  </si>
  <si>
    <t>Final CNG CI, g/MJ</t>
  </si>
  <si>
    <t>Final LNG CI, g/MJ</t>
  </si>
  <si>
    <t>Final L-CNG CI, g/MJ</t>
  </si>
  <si>
    <t>CA-GREET 4.0 Emission Factor</t>
  </si>
  <si>
    <t>Grid Electricity
 (2021 eGRID Region)</t>
  </si>
  <si>
    <t>U.S. Average</t>
  </si>
  <si>
    <t>User Defined Mix</t>
  </si>
  <si>
    <t>AKGD</t>
  </si>
  <si>
    <t>AKMS</t>
  </si>
  <si>
    <t>AZNM</t>
  </si>
  <si>
    <t>ERCT</t>
  </si>
  <si>
    <t>FRCC</t>
  </si>
  <si>
    <t>HIMS</t>
  </si>
  <si>
    <t>HIOA</t>
  </si>
  <si>
    <t>MROE</t>
  </si>
  <si>
    <t>MROW</t>
  </si>
  <si>
    <t>NEWE</t>
  </si>
  <si>
    <t>NWPP</t>
  </si>
  <si>
    <t>NYCW</t>
  </si>
  <si>
    <t>NYLI</t>
  </si>
  <si>
    <t>NYUP</t>
  </si>
  <si>
    <t>PRMS</t>
  </si>
  <si>
    <t>RFCE</t>
  </si>
  <si>
    <t>RFCM</t>
  </si>
  <si>
    <t>RFCW</t>
  </si>
  <si>
    <t>RMPA</t>
  </si>
  <si>
    <t>SPNO</t>
  </si>
  <si>
    <t>SPSO</t>
  </si>
  <si>
    <t>SRMV</t>
  </si>
  <si>
    <t>SRMW</t>
  </si>
  <si>
    <t>SRSO</t>
  </si>
  <si>
    <t>SRTV</t>
  </si>
  <si>
    <t>SRVC</t>
  </si>
  <si>
    <t>Brazil</t>
  </si>
  <si>
    <t>Canada</t>
  </si>
  <si>
    <t xml:space="preserve">Pipeline </t>
  </si>
  <si>
    <t>Evaporative Losses</t>
  </si>
  <si>
    <t>%/mile</t>
  </si>
  <si>
    <t>Transport Energy</t>
  </si>
  <si>
    <r>
      <t>gCO</t>
    </r>
    <r>
      <rPr>
        <vertAlign val="subscript"/>
        <sz val="11"/>
        <color theme="0"/>
        <rFont val="Calibri"/>
        <family val="2"/>
        <scheme val="minor"/>
      </rPr>
      <t>2</t>
    </r>
    <r>
      <rPr>
        <sz val="11"/>
        <color theme="0"/>
        <rFont val="Calibri"/>
        <family val="2"/>
        <scheme val="minor"/>
      </rPr>
      <t>e/MJ-Mile, LHV</t>
    </r>
  </si>
  <si>
    <t>LNG Truck+Storage</t>
  </si>
  <si>
    <t>LNG Transport</t>
  </si>
  <si>
    <t>Evaporative Losses - 
With Boil-Off Recovery</t>
  </si>
  <si>
    <t>Evaporative Losses - Without Boil-Off Recovery</t>
  </si>
  <si>
    <t>Compression</t>
  </si>
  <si>
    <t>at Fueling Station</t>
  </si>
  <si>
    <r>
      <t>gCO</t>
    </r>
    <r>
      <rPr>
        <vertAlign val="subscript"/>
        <sz val="11"/>
        <color theme="0"/>
        <rFont val="Calibri"/>
        <family val="2"/>
        <scheme val="minor"/>
      </rPr>
      <t>2</t>
    </r>
    <r>
      <rPr>
        <sz val="11"/>
        <color theme="0"/>
        <rFont val="Calibri"/>
        <family val="2"/>
        <scheme val="minor"/>
      </rPr>
      <t>e/MJ, LHV</t>
    </r>
  </si>
  <si>
    <t>Natural Gas EF for Stationary/Facility Use</t>
  </si>
  <si>
    <t>Details in g/MMBtu of NG</t>
  </si>
  <si>
    <t>NG Extraction</t>
  </si>
  <si>
    <t>NG Processing</t>
  </si>
  <si>
    <t>NG Transport, 
1000 miles pipeline</t>
  </si>
  <si>
    <t>Feedstock CI Total</t>
  </si>
  <si>
    <t>Natural Gas Flaring</t>
  </si>
  <si>
    <t>Small Industrial Boiler (10-100 MMBtu/hr input)</t>
  </si>
  <si>
    <t>Final CI, gCO2e/MJ</t>
  </si>
  <si>
    <t>VOC</t>
  </si>
  <si>
    <t>CO</t>
  </si>
  <si>
    <t>CH4</t>
  </si>
  <si>
    <t>N2O</t>
  </si>
  <si>
    <t>CO2</t>
  </si>
  <si>
    <t>Subtotal gCO2e/MJ</t>
  </si>
  <si>
    <t>Biomethane (gCO2e/MJ)</t>
  </si>
  <si>
    <t xml:space="preserve">RNG flaring </t>
  </si>
  <si>
    <t>Details in g/MMBtu</t>
  </si>
  <si>
    <t>Biogas electricity production</t>
  </si>
  <si>
    <t>Stationary Reciprocating Engine</t>
  </si>
  <si>
    <t>Assuming 37% efficiency</t>
  </si>
  <si>
    <t>Fuels used in pathway</t>
  </si>
  <si>
    <t>Fuel Name and Unit</t>
  </si>
  <si>
    <t>EF Unit</t>
  </si>
  <si>
    <t>Diesel (Gallons)</t>
  </si>
  <si>
    <t>gCO2e/gal</t>
  </si>
  <si>
    <t>NG (MMBtu, LHV)</t>
  </si>
  <si>
    <t>Grid Electricity (kWh)</t>
  </si>
  <si>
    <t>Propane (Gallons)</t>
  </si>
  <si>
    <t>gCO2e/MJ</t>
  </si>
  <si>
    <t>1) Specifications of Fuels</t>
  </si>
  <si>
    <t>Fuel</t>
  </si>
  <si>
    <t>Heating Value</t>
  </si>
  <si>
    <t>Density</t>
  </si>
  <si>
    <t>Calculation: LHV</t>
  </si>
  <si>
    <t>LHV</t>
  </si>
  <si>
    <t>HHV</t>
  </si>
  <si>
    <t>LHV/HHV</t>
  </si>
  <si>
    <t>Use LHV or HHV in calculations?</t>
  </si>
  <si>
    <t>1 -- LHV; 2 -- HHV</t>
  </si>
  <si>
    <t>Liquid Fuels:</t>
  </si>
  <si>
    <t>Btu/gal</t>
  </si>
  <si>
    <t>grams/gal</t>
  </si>
  <si>
    <r>
      <t>U</t>
    </r>
    <r>
      <rPr>
        <sz val="10"/>
        <color theme="0"/>
        <rFont val="Calibri"/>
        <family val="2"/>
        <scheme val="minor"/>
      </rPr>
      <t>.S. conventional diesel</t>
    </r>
  </si>
  <si>
    <t>CA conventional diesel</t>
  </si>
  <si>
    <t>Low-sulfur diesel</t>
  </si>
  <si>
    <t>Liquefied petroleum gas (LPG)</t>
  </si>
  <si>
    <t>Liquefied natural gas (LNG)</t>
  </si>
  <si>
    <t>Gaseous Fuels (at 60F and 1atm):</t>
  </si>
  <si>
    <t>Btu/ft3</t>
  </si>
  <si>
    <t>gms/ft3</t>
  </si>
  <si>
    <t>Natural gas</t>
  </si>
  <si>
    <t>Pure Methane</t>
  </si>
  <si>
    <t>2) Global Warming Potentials of Greenhouse Gases: relative to CO2</t>
  </si>
  <si>
    <t>NO2</t>
  </si>
  <si>
    <t>3) Unit Conversion</t>
  </si>
  <si>
    <t>Mass</t>
  </si>
  <si>
    <t>1 g</t>
  </si>
  <si>
    <t>1 kg</t>
  </si>
  <si>
    <t>1 metric tonne</t>
  </si>
  <si>
    <t>1 lb</t>
  </si>
  <si>
    <t>1 short ton</t>
  </si>
  <si>
    <t>g</t>
  </si>
  <si>
    <t>kg</t>
  </si>
  <si>
    <t>metric tonne</t>
  </si>
  <si>
    <t>lb</t>
  </si>
  <si>
    <t>short ton</t>
  </si>
  <si>
    <t>Volume</t>
  </si>
  <si>
    <t>1 m3</t>
  </si>
  <si>
    <t>1 ml</t>
  </si>
  <si>
    <t>1 L</t>
  </si>
  <si>
    <t>1 gal</t>
  </si>
  <si>
    <t>1 ft3</t>
  </si>
  <si>
    <t>m3</t>
  </si>
  <si>
    <t>ml</t>
  </si>
  <si>
    <t>L</t>
  </si>
  <si>
    <t>gal</t>
  </si>
  <si>
    <t>ft3</t>
  </si>
  <si>
    <t>Energy</t>
  </si>
  <si>
    <t>1 J</t>
  </si>
  <si>
    <t>1kJ</t>
  </si>
  <si>
    <t>1 MJ</t>
  </si>
  <si>
    <t>1Wh</t>
  </si>
  <si>
    <t>1 kWh</t>
  </si>
  <si>
    <t>1 BTU</t>
  </si>
  <si>
    <t>1 mmBTU</t>
  </si>
  <si>
    <t>J</t>
  </si>
  <si>
    <t>kJ</t>
  </si>
  <si>
    <t>MJ</t>
  </si>
  <si>
    <t>Wh</t>
  </si>
  <si>
    <t>BTU</t>
  </si>
  <si>
    <t>mmBTU</t>
  </si>
  <si>
    <t>Methane specs</t>
  </si>
  <si>
    <t>Tailpipe GHG Emissions from California CNG - LNG Fleet</t>
  </si>
  <si>
    <t>CNG and L-CNG</t>
  </si>
  <si>
    <t>LNG</t>
  </si>
  <si>
    <t>g/MMBtu</t>
  </si>
  <si>
    <r>
      <t>gCO</t>
    </r>
    <r>
      <rPr>
        <vertAlign val="subscript"/>
        <sz val="10"/>
        <color theme="0"/>
        <rFont val="Calibri"/>
        <family val="2"/>
        <scheme val="minor"/>
      </rPr>
      <t>2</t>
    </r>
    <r>
      <rPr>
        <sz val="10"/>
        <color theme="0"/>
        <rFont val="Calibri"/>
        <family val="2"/>
        <scheme val="minor"/>
      </rPr>
      <t>e/MJ</t>
    </r>
  </si>
  <si>
    <r>
      <t>CH</t>
    </r>
    <r>
      <rPr>
        <vertAlign val="subscript"/>
        <sz val="10"/>
        <color theme="0"/>
        <rFont val="Calibri"/>
        <family val="2"/>
        <scheme val="minor"/>
      </rPr>
      <t>4</t>
    </r>
  </si>
  <si>
    <r>
      <t>N</t>
    </r>
    <r>
      <rPr>
        <vertAlign val="subscript"/>
        <sz val="10"/>
        <color theme="0"/>
        <rFont val="Calibri"/>
        <family val="2"/>
        <scheme val="minor"/>
      </rPr>
      <t>2</t>
    </r>
    <r>
      <rPr>
        <sz val="10"/>
        <color theme="0"/>
        <rFont val="Calibri"/>
        <family val="2"/>
        <scheme val="minor"/>
      </rPr>
      <t>O</t>
    </r>
  </si>
  <si>
    <r>
      <t>CO</t>
    </r>
    <r>
      <rPr>
        <vertAlign val="subscript"/>
        <sz val="10"/>
        <color theme="0"/>
        <rFont val="Calibri"/>
        <family val="2"/>
        <scheme val="minor"/>
      </rPr>
      <t>2</t>
    </r>
  </si>
  <si>
    <r>
      <t>Total, gCO</t>
    </r>
    <r>
      <rPr>
        <vertAlign val="subscript"/>
        <sz val="10"/>
        <color theme="0"/>
        <rFont val="Calibri"/>
        <family val="2"/>
        <scheme val="minor"/>
      </rPr>
      <t>2</t>
    </r>
    <r>
      <rPr>
        <sz val="10"/>
        <color theme="0"/>
        <rFont val="Calibri"/>
        <family val="2"/>
        <scheme val="minor"/>
      </rPr>
      <t>e/MMBtu</t>
    </r>
  </si>
  <si>
    <t>g/MJ</t>
  </si>
  <si>
    <t>Details of Boil-Off Effects of Liquefied Natural Gas</t>
  </si>
  <si>
    <t>Storage at Production Plant</t>
  </si>
  <si>
    <t>Transportation from Plant to Bulk Terminal</t>
  </si>
  <si>
    <t>Bulk Terminal Storage</t>
  </si>
  <si>
    <t>Distribution from Bulk Terminal to Refueling Station</t>
  </si>
  <si>
    <t>Refueling Station Storage for Central Plant H2 Pathway</t>
  </si>
  <si>
    <t>Refueling Station Storage for Station H2 Pathway</t>
  </si>
  <si>
    <t>Storage at Landfill Gas Plant</t>
  </si>
  <si>
    <t>Distribution from Landfill Gas Plant to Refueling Station</t>
  </si>
  <si>
    <t>Refueling Station Storage for CNG from RNG pathway</t>
  </si>
  <si>
    <t>Boil-Off Rate: % per Day</t>
  </si>
  <si>
    <t>Liquefied Natural Gas</t>
  </si>
  <si>
    <t>Liquid H2</t>
  </si>
  <si>
    <t>Duration of Storage or Transit: Days</t>
  </si>
  <si>
    <t>LNG as a final transportation fuel</t>
  </si>
  <si>
    <t xml:space="preserve">LNG as an intermediate product from NNA NG </t>
  </si>
  <si>
    <t xml:space="preserve">LNG as an intermediate product from NNA FG </t>
  </si>
  <si>
    <t>Liquid H2 from NG</t>
  </si>
  <si>
    <t>Recovery Rate for Boil-Off Gas</t>
  </si>
  <si>
    <t>Emissions Factor Tables (Appendix A of the "Compliance Offset Protocol Livestock Projects")</t>
  </si>
  <si>
    <r>
      <t>Table A.1 and A.2: Typical Average Mass (Mass</t>
    </r>
    <r>
      <rPr>
        <b/>
        <vertAlign val="subscript"/>
        <sz val="11"/>
        <color theme="1"/>
        <rFont val="Calibri"/>
        <family val="2"/>
        <scheme val="minor"/>
      </rPr>
      <t>L</t>
    </r>
    <r>
      <rPr>
        <b/>
        <sz val="11"/>
        <color theme="1"/>
        <rFont val="Calibri"/>
        <family val="2"/>
        <scheme val="minor"/>
      </rPr>
      <t>), Volatile Solids, and Maximum Methane Potential of all Livestock Category</t>
    </r>
  </si>
  <si>
    <r>
      <t>Livestock Category</t>
    </r>
    <r>
      <rPr>
        <b/>
        <i/>
        <sz val="10"/>
        <color theme="0"/>
        <rFont val="Calibri"/>
        <family val="2"/>
        <scheme val="minor"/>
      </rPr>
      <t xml:space="preserve"> </t>
    </r>
    <r>
      <rPr>
        <b/>
        <sz val="10"/>
        <color theme="0"/>
        <rFont val="Calibri"/>
        <family val="2"/>
        <scheme val="minor"/>
      </rPr>
      <t>(L)</t>
    </r>
  </si>
  <si>
    <t>Livestock Typical Average Mass (TAM) in kg</t>
  </si>
  <si>
    <r>
      <t>VS</t>
    </r>
    <r>
      <rPr>
        <b/>
        <vertAlign val="subscript"/>
        <sz val="10"/>
        <color theme="0"/>
        <rFont val="Calibri"/>
        <family val="2"/>
        <scheme val="minor"/>
      </rPr>
      <t>L</t>
    </r>
    <r>
      <rPr>
        <b/>
        <sz val="10"/>
        <color theme="0"/>
        <rFont val="Calibri"/>
        <family val="2"/>
        <scheme val="minor"/>
      </rPr>
      <t xml:space="preserve"> 
(kg/day per 1,000 kg mass)</t>
    </r>
  </si>
  <si>
    <r>
      <t>B</t>
    </r>
    <r>
      <rPr>
        <b/>
        <vertAlign val="subscript"/>
        <sz val="10"/>
        <color theme="0"/>
        <rFont val="Calibri"/>
        <family val="2"/>
        <scheme val="minor"/>
      </rPr>
      <t>o,L</t>
    </r>
    <r>
      <rPr>
        <b/>
        <sz val="10"/>
        <color theme="0"/>
        <rFont val="Calibri"/>
        <family val="2"/>
        <scheme val="minor"/>
      </rPr>
      <t xml:space="preserve"> 
(m</t>
    </r>
    <r>
      <rPr>
        <b/>
        <vertAlign val="superscript"/>
        <sz val="10"/>
        <color theme="0"/>
        <rFont val="Calibri"/>
        <family val="2"/>
        <scheme val="minor"/>
      </rPr>
      <t>3</t>
    </r>
    <r>
      <rPr>
        <b/>
        <sz val="10"/>
        <color theme="0"/>
        <rFont val="Calibri"/>
        <family val="2"/>
        <scheme val="minor"/>
      </rPr>
      <t xml:space="preserve"> CH</t>
    </r>
    <r>
      <rPr>
        <b/>
        <vertAlign val="subscript"/>
        <sz val="10"/>
        <color theme="0"/>
        <rFont val="Calibri"/>
        <family val="2"/>
        <scheme val="minor"/>
      </rPr>
      <t>4</t>
    </r>
    <r>
      <rPr>
        <b/>
        <sz val="10"/>
        <color theme="0"/>
        <rFont val="Calibri"/>
        <family val="2"/>
        <scheme val="minor"/>
      </rPr>
      <t>/kg VS added)</t>
    </r>
  </si>
  <si>
    <t>Dairy cows (on feed)</t>
  </si>
  <si>
    <t>Non-milking dairy cows (on feed)</t>
  </si>
  <si>
    <t>Heifers (on feed)</t>
  </si>
  <si>
    <t>Bulls (grazing)</t>
  </si>
  <si>
    <t>Calves (grazing)</t>
  </si>
  <si>
    <t>Heifers (grazing)</t>
  </si>
  <si>
    <t>Cows (grazing)</t>
  </si>
  <si>
    <t>Nursery swine</t>
  </si>
  <si>
    <t>Grow/finish swine</t>
  </si>
  <si>
    <t>Breeding swine</t>
  </si>
  <si>
    <t>Table A.3. Biogas Collection Efficiency by Digester Type</t>
  </si>
  <si>
    <t>Digester Type</t>
  </si>
  <si>
    <t>Cover Type</t>
  </si>
  <si>
    <t>Biogas Collection Efficiency (BCE)</t>
  </si>
  <si>
    <t>Methane Leakage</t>
  </si>
  <si>
    <t>Fully Covered
(Bank-to-Bank)</t>
  </si>
  <si>
    <t>Partially Covered 
(Modular)</t>
  </si>
  <si>
    <t>0.95 x % area covered</t>
  </si>
  <si>
    <t>1 - (0.95 x % area covered)</t>
  </si>
  <si>
    <t>Complete mix, plug flow, or fixed film digester</t>
  </si>
  <si>
    <t>Enclosed Vessel</t>
  </si>
  <si>
    <t>Table A.4. 2012 Volatile Solid (VS) Default Values for Dairy Cows, Heifers, Heifers-Grazing and Cows-Grazing by State (kg/day/1,000 kg mass)</t>
  </si>
  <si>
    <r>
      <rPr>
        <b/>
        <sz val="10"/>
        <color rgb="FF329696"/>
        <rFont val="Calibri"/>
        <family val="2"/>
        <scheme val="minor"/>
      </rPr>
      <t xml:space="preserve">~~~~ </t>
    </r>
    <r>
      <rPr>
        <b/>
        <sz val="10"/>
        <color theme="0"/>
        <rFont val="Calibri"/>
        <family val="2"/>
        <scheme val="minor"/>
      </rPr>
      <t>State</t>
    </r>
    <r>
      <rPr>
        <b/>
        <sz val="10"/>
        <color rgb="FF329696"/>
        <rFont val="Calibri"/>
        <family val="2"/>
        <scheme val="minor"/>
      </rPr>
      <t xml:space="preserve"> ~~~~</t>
    </r>
  </si>
  <si>
    <t>Dairy cows 
(on feed)</t>
  </si>
  <si>
    <t>Heifers 
(on feed)</t>
  </si>
  <si>
    <t>Heifers 
(grazing)</t>
  </si>
  <si>
    <t>Alabama</t>
  </si>
  <si>
    <t>Alaska</t>
  </si>
  <si>
    <t>Arizona</t>
  </si>
  <si>
    <t>Arkansas</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</si>
  <si>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</si>
  <si>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</si>
  <si>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</si>
  <si>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</si>
  <si>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</si>
  <si>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</si>
  <si>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</si>
  <si>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</si>
  <si>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</si>
  <si>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</si>
  <si>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</si>
  <si>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</si>
  <si>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</si>
  <si>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</si>
  <si>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</si>
  <si>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</si>
  <si>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</si>
  <si>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</si>
  <si>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</si>
  <si>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</si>
  <si>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</si>
  <si>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</si>
  <si>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</si>
  <si>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</si>
  <si>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</si>
  <si>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</si>
  <si>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</si>
  <si>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</si>
  <si>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</si>
  <si>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</si>
  <si>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</si>
  <si>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</si>
  <si>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</si>
  <si>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</si>
  <si>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</si>
  <si>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</si>
  <si>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</si>
  <si>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</si>
  <si>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</si>
  <si>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</si>
  <si>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</si>
  <si>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</si>
  <si>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</si>
  <si>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</si>
  <si>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</si>
  <si>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Table A.5. IPCC 2006 Methane Conversion Factors by Manure Management System Component/Methane Source 'S'</t>
  </si>
  <si>
    <t>MCF Values by Temperature for Manure Management Systems</t>
  </si>
  <si>
    <t>MCFs by average reporting period temperature (°C)</t>
  </si>
  <si>
    <t>Cool</t>
  </si>
  <si>
    <t>Temperate</t>
  </si>
  <si>
    <t>Warm</t>
  </si>
  <si>
    <t>Comments</t>
  </si>
  <si>
    <t>System</t>
  </si>
  <si>
    <t>≤10</t>
  </si>
  <si>
    <t>≥28</t>
  </si>
  <si>
    <t>Pasture/Range/Paddock</t>
  </si>
  <si>
    <t>Judgment of IPCC Expert Group in combination with Hashimoto and Steed (1994).</t>
  </si>
  <si>
    <t>Daily spread</t>
  </si>
  <si>
    <t>Hashimoto and Steed (1993).</t>
  </si>
  <si>
    <t>Solid storage</t>
  </si>
  <si>
    <t>Judgment of IPCC Expert Group in combination with Amon et al. (2001), which shows emissions of approximately 2% in winter and 4% in summer. Warm climate is based on judgment of IPCC Expert Group and Amon et al. (1998).</t>
  </si>
  <si>
    <t>Dry lot</t>
  </si>
  <si>
    <t>Liquid/slurry w/natural crust cover</t>
  </si>
  <si>
    <t>Judgment of IPCC Expert Group in combination with Mangino et al. (2001) and Sommer (2000). The estimated reduction due to the crust cover (40%) is an annual average value based on a limited data set and can be highly variable dependent on temperature, rainfall, and composition.</t>
  </si>
  <si>
    <t>Liquid/slurry uncovered</t>
  </si>
  <si>
    <t xml:space="preserve">Judgment of IPCC Expert Group in combination with Mangino et al. (2001). </t>
  </si>
  <si>
    <t>Uncovered anaerobic lagoon</t>
  </si>
  <si>
    <t>Judgment of IPCC Expert Group in combination with Mangino et al. (2001). Uncovered lagoon MCFs vary based on several factors, including temperature, retention time, and loss of volatile solids from the system (through removal of lagoon effluent and/or solids).</t>
  </si>
  <si>
    <t>Pit storage below animal confinements (&lt;1 month)</t>
  </si>
  <si>
    <t>Judgment of IPCC Expert Group in combination with Moller et al. (2004) and Zeeman (1994). Note that the ambient temperature, not the stable temperature is to be used for determining the climatic conditions.</t>
  </si>
  <si>
    <t>Pit storage below animal confinements (&gt;1 month)</t>
  </si>
  <si>
    <t>Judgment of IPCC Expert Group in combination with Mangino et al. (2001). Note that the ambient temperature, not the stable temperature is to be used for determining the climatic conditions.</t>
  </si>
  <si>
    <t>Anaerobic digester</t>
  </si>
  <si>
    <t>0 - 1</t>
  </si>
  <si>
    <t>Should be subdivided in different categories, considering amount of recovery of the biogas, flaring of the biogas and storage after digestion. Calculation with Formula 1.</t>
  </si>
  <si>
    <t>Burned for fuel</t>
  </si>
  <si>
    <t>Judgment of IPCC Expert Group in combination with Safley et al. (1992).</t>
  </si>
  <si>
    <t>Cattle and swine deep bedding (&lt;1 month)</t>
  </si>
  <si>
    <t>Judgment of IPCC Expert Group in combination with Moller et al. (2004). Expect emissions to be similar, and possibly greater, than pit storage, depending on organic content and moisture content.</t>
  </si>
  <si>
    <t>Cattle and swine deep bedding (&gt;1 month)</t>
  </si>
  <si>
    <t>Judgment of IPCC Expert Group in combination with Mangino et al. (2001).</t>
  </si>
  <si>
    <t>Composting - in-vessel or static pile</t>
  </si>
  <si>
    <t>Judgment of IPCC Expert Group and Amon et al. (1998). MCFs are less than half of solid storage. Not temperature dependant.</t>
  </si>
  <si>
    <t>Composting - passive or intensive windrow</t>
  </si>
  <si>
    <t>Judgment of IPCC Expert Group and Amon et al. (1998). MCFs are slightly less than solid storage. Less temperature dependant.</t>
  </si>
  <si>
    <t>Aerobic treatment</t>
  </si>
  <si>
    <t>MCFs are near zero. Aerobic treatment can result in the accumulation of sludge which may be treated in other systems. Sludge requires removal and has large VS values. It is important to identify the next management process for the sludge and estimate the emissions from that management process if significant.</t>
  </si>
  <si>
    <t>Table A.6. Biogas Destruction Efficiency Default Values by Destruction Device</t>
  </si>
  <si>
    <t>If available, the actual source test results for the measured methane destruction efficiency must be used in place of the default methane destruction efficiency. Otherwise, the Offset Project Operator or Authorized Project Designee must use the default methane destruction efficiencies provided below.</t>
  </si>
  <si>
    <t>Biogas Destruction Device</t>
  </si>
  <si>
    <t>Biogas Destruction Efficiency (BDE)</t>
  </si>
  <si>
    <t>Open Flare</t>
  </si>
  <si>
    <t>Enclosed Flare</t>
  </si>
  <si>
    <t>Lean-burn Internal Combustion Engine</t>
  </si>
  <si>
    <t>Rich-burn Internal Combustion Engine</t>
  </si>
  <si>
    <t>Boiler</t>
  </si>
  <si>
    <t>Microturbine or large gas turbine</t>
  </si>
  <si>
    <t>Upgrade and use of gas as CNG/LNG fuel</t>
  </si>
  <si>
    <t>Upgrade and injection into natural gas transmission and distribution pipeline</t>
  </si>
  <si>
    <t>Direct pipeline to an end-user</t>
  </si>
  <si>
    <t>Per corresponding destruction device</t>
  </si>
  <si>
    <t>Table A.9. Volatile Solids Removed Through Solids Separation (modified)</t>
  </si>
  <si>
    <t>Type of Solids Separation</t>
  </si>
  <si>
    <r>
      <t>Volatile Solids Removed (fraction), MS</t>
    </r>
    <r>
      <rPr>
        <b/>
        <vertAlign val="subscript"/>
        <sz val="10"/>
        <color theme="0"/>
        <rFont val="Calibri"/>
        <family val="2"/>
        <scheme val="minor"/>
      </rPr>
      <t>L,nAS</t>
    </r>
    <r>
      <rPr>
        <b/>
        <sz val="10"/>
        <color theme="0"/>
        <rFont val="Calibri"/>
        <family val="2"/>
        <scheme val="minor"/>
      </rPr>
      <t xml:space="preserve"> or MS</t>
    </r>
    <r>
      <rPr>
        <b/>
        <vertAlign val="subscript"/>
        <sz val="10"/>
        <color theme="0"/>
        <rFont val="Calibri"/>
        <family val="2"/>
        <scheme val="minor"/>
      </rPr>
      <t>L,S</t>
    </r>
  </si>
  <si>
    <r>
      <t>Volatile Solids Sent to Appropriate Manure Management System (fraction), MS</t>
    </r>
    <r>
      <rPr>
        <b/>
        <vertAlign val="subscript"/>
        <sz val="10"/>
        <color theme="0"/>
        <rFont val="Calibri"/>
        <family val="2"/>
        <scheme val="minor"/>
      </rPr>
      <t>AS,L</t>
    </r>
    <r>
      <rPr>
        <b/>
        <sz val="10"/>
        <color theme="0"/>
        <rFont val="Calibri"/>
        <family val="2"/>
        <scheme val="minor"/>
      </rPr>
      <t xml:space="preserve"> or MS</t>
    </r>
    <r>
      <rPr>
        <b/>
        <vertAlign val="subscript"/>
        <sz val="10"/>
        <color theme="0"/>
        <rFont val="Calibri"/>
        <family val="2"/>
        <scheme val="minor"/>
      </rPr>
      <t>L,BCS</t>
    </r>
  </si>
  <si>
    <t>Gravity</t>
  </si>
  <si>
    <t>Mechanical:</t>
  </si>
  <si>
    <t>Stationary Screen</t>
  </si>
  <si>
    <t>Vibrating screen</t>
  </si>
  <si>
    <t>Screw press</t>
  </si>
  <si>
    <t>Centrifuge</t>
  </si>
  <si>
    <t>Roller drum</t>
  </si>
  <si>
    <t>Belt press/screen</t>
  </si>
  <si>
    <t xml:space="preserve">Manure Management Storage/Treatment Systems </t>
  </si>
  <si>
    <t>Liquid/Slurry uncovered</t>
  </si>
  <si>
    <t>Liquid/Slurry w/natural crust cover</t>
  </si>
  <si>
    <t>Cattle and Swine deep bedding (&lt;1 month)</t>
  </si>
  <si>
    <t>Cattle and Swine deep bedding (&gt;1 month)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</si>
</sst>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_(* \(#,##0.00\);_(* &quot;-&quot;??_);_(@_)"/>
    <numFmt numFmtId="164" formatCode="#,##0.0"/>
    <numFmt numFmtId="165" formatCode="#,##0.0000"/>
    <numFmt numFmtId="166" formatCode="_(* #,##0_);_(* \(#,##0\);_(* &quot;-&quot;??_);_(@_)"/>
    <numFmt numFmtId="167" formatCode="0.0%"/>
    <numFmt numFmtId="168" formatCode="#,##0.00;[Red]#,##0.00"/>
    <numFmt numFmtId="169" formatCode="0.00_);[Red]\(0.00\)"/>
    <numFmt numFmtId="170" formatCode="0.0"/>
    <numFmt numFmtId="171" formatCode="#,##0.0_);\(#,##0.0\)"/>
    <numFmt numFmtId="172" formatCode="0.000"/>
    <numFmt numFmtId="173" formatCode="mm\-yyyy"/>
    <numFmt numFmtId="174" formatCode="0.0000"/>
    <numFmt numFmtId="175" formatCode="_(* #,##0.0_);_(* \(#,##0.0\);_(* &quot;-&quot;??_);_(@_)"/>
    <numFmt numFmtId="176" formatCode="0.00000%"/>
    <numFmt numFmtId="177" formatCode="0.000000%"/>
    <numFmt numFmtId="178" formatCode="0.00000000"/>
    <numFmt numFmtId="179" formatCode="#,##0.00000_);\(#,##0.00000\)"/>
    <numFmt numFmtId="180" formatCode="0.000000"/>
    <numFmt numFmtId="181" formatCode="#,##0.0;[Red]#,##0.0"/>
    <numFmt numFmtId="182" formatCode="_(* #,##0.0000_);_(* \(#,##0.0000\);_(* &quot;-&quot;??_);_(@_)"/>
    <numFmt numFmtId="183" formatCode="#,##0.000"/>
    <numFmt numFmtId="184" formatCode="#,##0.000000"/>
    <numFmt numFmtId="185" formatCode="#,##0.00000"/>
    <numFmt numFmtId="186" formatCode="#,##0.000000000"/>
    <numFmt numFmtId="187" formatCode="#,##0.0000000000"/>
    <numFmt numFmtId="188" formatCode="#,##0.0000000"/>
  </numFmts>
  <fonts count="123">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sz val="11"/>
      <color theme="1"/>
      <name val="Calibri"/>
      <family val="2"/>
    </font>
    <font>
      <b/>
      <sz val="14"/>
      <color theme="0"/>
      <name val="Calibri"/>
      <family val="2"/>
      <scheme val="minor"/>
    </font>
    <font>
      <b/>
      <sz val="16"/>
      <color theme="0"/>
      <name val="Calibri"/>
      <family val="2"/>
    </font>
    <font>
      <b/>
      <sz val="14"/>
      <color theme="1"/>
      <name val="Calibri"/>
      <family val="2"/>
    </font>
    <font>
      <sz val="11"/>
      <name val="Calibri"/>
      <family val="2"/>
    </font>
    <font>
      <b/>
      <sz val="11"/>
      <color theme="1"/>
      <name val="Calibri"/>
      <family val="2"/>
    </font>
    <font>
      <sz val="11"/>
      <color theme="10"/>
      <name val="Calibri"/>
      <family val="2"/>
      <scheme val="minor"/>
    </font>
    <font>
      <sz val="16"/>
      <name val="Calibri"/>
      <family val="2"/>
    </font>
    <font>
      <b/>
      <sz val="11"/>
      <name val="Calibri"/>
      <family val="2"/>
    </font>
    <font>
      <sz val="11"/>
      <color rgb="FFFF0000"/>
      <name val="Calibri"/>
      <family val="2"/>
    </font>
    <font>
      <b/>
      <sz val="12"/>
      <name val="Calibri"/>
      <family val="2"/>
    </font>
    <font>
      <b/>
      <sz val="16"/>
      <name val="Calibri"/>
      <family val="2"/>
    </font>
    <font>
      <b/>
      <sz val="11"/>
      <color rgb="FFFF0000"/>
      <name val="Calibri"/>
      <family val="2"/>
    </font>
    <font>
      <b/>
      <sz val="12"/>
      <color theme="1"/>
      <name val="Calibri"/>
      <family val="2"/>
    </font>
    <font>
      <sz val="12"/>
      <name val="Calibri"/>
      <family val="2"/>
    </font>
    <font>
      <i/>
      <sz val="11"/>
      <color theme="1"/>
      <name val="Calibri"/>
      <family val="2"/>
    </font>
    <font>
      <i/>
      <sz val="11"/>
      <name val="Calibri"/>
      <family val="2"/>
    </font>
    <font>
      <sz val="12"/>
      <color theme="1"/>
      <name val="Calibri"/>
      <family val="2"/>
    </font>
    <font>
      <b/>
      <sz val="14"/>
      <color theme="0"/>
      <name val="Arial"/>
      <family val="2"/>
    </font>
    <font>
      <b/>
      <sz val="11"/>
      <color rgb="FFFF0000"/>
      <name val="Arial"/>
      <family val="2"/>
    </font>
    <font>
      <sz val="11"/>
      <color theme="1"/>
      <name val="Arial"/>
      <family val="2"/>
    </font>
    <font>
      <b/>
      <sz val="11"/>
      <color theme="0"/>
      <name val="Arial"/>
      <family val="2"/>
    </font>
    <font>
      <b/>
      <vertAlign val="subscript"/>
      <sz val="11"/>
      <color theme="0"/>
      <name val="Arial"/>
      <family val="2"/>
    </font>
    <font>
      <b/>
      <sz val="11"/>
      <name val="Arial"/>
      <family val="2"/>
    </font>
    <font>
      <b/>
      <sz val="10"/>
      <color theme="1"/>
      <name val="Arial"/>
      <family val="2"/>
    </font>
    <font>
      <sz val="10"/>
      <color theme="1"/>
      <name val="Arial"/>
      <family val="2"/>
    </font>
    <font>
      <b/>
      <sz val="12"/>
      <color theme="0"/>
      <name val="Arial"/>
      <family val="2"/>
    </font>
    <font>
      <b/>
      <vertAlign val="subscript"/>
      <sz val="12"/>
      <color theme="0"/>
      <name val="Arial"/>
      <family val="2"/>
    </font>
    <font>
      <sz val="11"/>
      <color theme="0"/>
      <name val="Arial"/>
      <family val="2"/>
    </font>
    <font>
      <vertAlign val="subscript"/>
      <sz val="11"/>
      <color theme="0"/>
      <name val="Arial"/>
      <family val="2"/>
    </font>
    <font>
      <b/>
      <sz val="10"/>
      <name val="Arial"/>
      <family val="2"/>
    </font>
    <font>
      <b/>
      <sz val="10"/>
      <color rgb="FFFF0000"/>
      <name val="Arial"/>
      <family val="2"/>
    </font>
    <font>
      <b/>
      <u/>
      <sz val="14"/>
      <color theme="0"/>
      <name val="Arial"/>
      <family val="2"/>
    </font>
    <font>
      <b/>
      <u/>
      <sz val="11"/>
      <color theme="1"/>
      <name val="Arial"/>
      <family val="2"/>
    </font>
    <font>
      <b/>
      <sz val="9"/>
      <color indexed="81"/>
      <name val="Tahoma"/>
      <family val="2"/>
    </font>
    <font>
      <sz val="9"/>
      <color indexed="81"/>
      <name val="Tahoma"/>
      <family val="2"/>
    </font>
    <font>
      <b/>
      <sz val="26"/>
      <color theme="1"/>
      <name val="Calibri"/>
      <family val="2"/>
      <scheme val="minor"/>
    </font>
    <font>
      <b/>
      <sz val="14"/>
      <color rgb="FFFF0000"/>
      <name val="Calibri"/>
      <family val="2"/>
      <scheme val="minor"/>
    </font>
    <font>
      <b/>
      <sz val="16"/>
      <color theme="0"/>
      <name val="Calibri"/>
      <family val="2"/>
      <scheme val="minor"/>
    </font>
    <font>
      <b/>
      <vertAlign val="subscript"/>
      <sz val="16"/>
      <color theme="0"/>
      <name val="Calibri"/>
      <family val="2"/>
      <scheme val="minor"/>
    </font>
    <font>
      <b/>
      <sz val="12"/>
      <color theme="0"/>
      <name val="Calibri"/>
      <family val="2"/>
      <scheme val="minor"/>
    </font>
    <font>
      <sz val="12"/>
      <color theme="1"/>
      <name val="Calibri"/>
      <family val="2"/>
      <scheme val="minor"/>
    </font>
    <font>
      <b/>
      <vertAlign val="subscript"/>
      <sz val="12"/>
      <color theme="0"/>
      <name val="Calibri"/>
      <family val="2"/>
      <scheme val="minor"/>
    </font>
    <font>
      <sz val="12"/>
      <name val="Calibri"/>
      <family val="2"/>
      <scheme val="minor"/>
    </font>
    <font>
      <sz val="12"/>
      <color indexed="10"/>
      <name val="Calibri"/>
      <family val="2"/>
      <scheme val="minor"/>
    </font>
    <font>
      <b/>
      <sz val="12"/>
      <name val="Calibri"/>
      <family val="2"/>
      <scheme val="minor"/>
    </font>
    <font>
      <b/>
      <vertAlign val="superscript"/>
      <sz val="12"/>
      <color theme="0"/>
      <name val="Calibri"/>
      <family val="2"/>
      <scheme val="minor"/>
    </font>
    <font>
      <b/>
      <sz val="12"/>
      <color theme="1"/>
      <name val="Calibri"/>
      <family val="2"/>
      <scheme val="minor"/>
    </font>
    <font>
      <b/>
      <sz val="12"/>
      <color rgb="FFFF0000"/>
      <name val="Calibri"/>
      <family val="2"/>
      <scheme val="minor"/>
    </font>
    <font>
      <b/>
      <vertAlign val="subscript"/>
      <sz val="12"/>
      <color theme="1"/>
      <name val="Calibri"/>
      <family val="2"/>
      <scheme val="minor"/>
    </font>
    <font>
      <b/>
      <i/>
      <sz val="16"/>
      <color theme="0"/>
      <name val="Calibri"/>
      <family val="2"/>
      <scheme val="minor"/>
    </font>
    <font>
      <b/>
      <i/>
      <vertAlign val="subscript"/>
      <sz val="16"/>
      <color theme="0"/>
      <name val="Calibri"/>
      <family val="2"/>
      <scheme val="minor"/>
    </font>
    <font>
      <sz val="12"/>
      <color theme="0"/>
      <name val="Calibri"/>
      <family val="2"/>
      <scheme val="minor"/>
    </font>
    <font>
      <b/>
      <sz val="36"/>
      <color rgb="FFFF0000"/>
      <name val="Calibri"/>
      <family val="2"/>
      <scheme val="minor"/>
    </font>
    <font>
      <b/>
      <sz val="14"/>
      <color theme="1"/>
      <name val="Calibri"/>
      <family val="2"/>
      <scheme val="minor"/>
    </font>
    <font>
      <b/>
      <i/>
      <sz val="12"/>
      <color theme="0"/>
      <name val="Calibri"/>
      <family val="2"/>
      <scheme val="minor"/>
    </font>
    <font>
      <b/>
      <i/>
      <vertAlign val="subscript"/>
      <sz val="12"/>
      <color theme="0"/>
      <name val="Calibri"/>
      <family val="2"/>
      <scheme val="minor"/>
    </font>
    <font>
      <i/>
      <sz val="12"/>
      <color theme="0" tint="-0.499984740745262"/>
      <name val="Calibri"/>
      <family val="2"/>
      <scheme val="minor"/>
    </font>
    <font>
      <b/>
      <sz val="11"/>
      <color indexed="63"/>
      <name val="Calibri"/>
      <family val="2"/>
    </font>
    <font>
      <sz val="12"/>
      <color indexed="63"/>
      <name val="Calibri"/>
      <family val="2"/>
      <scheme val="minor"/>
    </font>
    <font>
      <sz val="11"/>
      <color indexed="9"/>
      <name val="Calibri"/>
      <family val="2"/>
    </font>
    <font>
      <i/>
      <sz val="11"/>
      <color indexed="23"/>
      <name val="Calibri"/>
      <family val="2"/>
    </font>
    <font>
      <b/>
      <sz val="28"/>
      <color rgb="FFFF0000"/>
      <name val="Calibri"/>
      <family val="2"/>
      <scheme val="minor"/>
    </font>
    <font>
      <b/>
      <sz val="13"/>
      <color rgb="FFFF0000"/>
      <name val="Calibri"/>
      <family val="2"/>
      <scheme val="minor"/>
    </font>
    <font>
      <b/>
      <sz val="11"/>
      <name val="Calibri"/>
      <family val="2"/>
      <scheme val="minor"/>
    </font>
    <font>
      <b/>
      <sz val="22"/>
      <color theme="1"/>
      <name val="Calibri"/>
      <family val="2"/>
      <scheme val="minor"/>
    </font>
    <font>
      <b/>
      <sz val="11"/>
      <color theme="1" tint="0.249977111117893"/>
      <name val="Calibri"/>
      <family val="2"/>
      <scheme val="minor"/>
    </font>
    <font>
      <b/>
      <sz val="28"/>
      <color theme="1"/>
      <name val="Calibri"/>
      <family val="2"/>
      <scheme val="minor"/>
    </font>
    <font>
      <b/>
      <sz val="25"/>
      <color theme="1" tint="0.249977111117893"/>
      <name val="Calibri"/>
      <family val="2"/>
      <scheme val="minor"/>
    </font>
    <font>
      <b/>
      <sz val="16"/>
      <name val="Calibri"/>
      <family val="2"/>
      <scheme val="minor"/>
    </font>
    <font>
      <sz val="11"/>
      <name val="Calibri"/>
      <family val="2"/>
      <scheme val="minor"/>
    </font>
    <font>
      <b/>
      <sz val="13"/>
      <color theme="0"/>
      <name val="Calibri"/>
      <family val="2"/>
      <scheme val="minor"/>
    </font>
    <font>
      <b/>
      <sz val="12"/>
      <color theme="0"/>
      <name val="Calibri"/>
      <family val="2"/>
    </font>
    <font>
      <b/>
      <sz val="11"/>
      <color rgb="FFFF0000"/>
      <name val="Calibri"/>
      <family val="2"/>
      <scheme val="minor"/>
    </font>
    <font>
      <sz val="14"/>
      <color theme="1"/>
      <name val="Arial"/>
      <family val="2"/>
    </font>
    <font>
      <b/>
      <vertAlign val="subscript"/>
      <sz val="12"/>
      <color theme="0"/>
      <name val="Calibri"/>
      <family val="2"/>
    </font>
    <font>
      <sz val="13"/>
      <color theme="1"/>
      <name val="Calibri"/>
      <family val="2"/>
      <scheme val="minor"/>
    </font>
    <font>
      <vertAlign val="subscript"/>
      <sz val="11"/>
      <color theme="0"/>
      <name val="Calibri"/>
      <family val="2"/>
      <scheme val="minor"/>
    </font>
    <font>
      <b/>
      <vertAlign val="subscript"/>
      <sz val="11"/>
      <name val="Calibri"/>
      <family val="2"/>
      <scheme val="minor"/>
    </font>
    <font>
      <sz val="16"/>
      <name val="Calibri"/>
      <family val="2"/>
      <scheme val="minor"/>
    </font>
    <font>
      <b/>
      <sz val="16"/>
      <name val="Arial"/>
      <family val="2"/>
    </font>
    <font>
      <sz val="11"/>
      <name val="Arial"/>
      <family val="2"/>
    </font>
    <font>
      <b/>
      <sz val="11"/>
      <color theme="1"/>
      <name val="Arial"/>
      <family val="2"/>
    </font>
    <font>
      <b/>
      <vertAlign val="subscript"/>
      <sz val="11"/>
      <color theme="0"/>
      <name val="Calibri"/>
      <family val="2"/>
      <scheme val="minor"/>
    </font>
    <font>
      <i/>
      <sz val="8"/>
      <name val="Arial"/>
      <family val="2"/>
    </font>
    <font>
      <i/>
      <sz val="10"/>
      <color rgb="FFFF0000"/>
      <name val="Arial"/>
      <family val="2"/>
    </font>
    <font>
      <sz val="10"/>
      <color rgb="FFFF0000"/>
      <name val="Arial"/>
      <family val="2"/>
    </font>
    <font>
      <sz val="11"/>
      <color rgb="FFFF0000"/>
      <name val="Arial"/>
      <family val="2"/>
    </font>
    <font>
      <i/>
      <sz val="10"/>
      <name val="Arial"/>
      <family val="2"/>
    </font>
    <font>
      <sz val="10"/>
      <name val="Arial"/>
      <family val="2"/>
    </font>
    <font>
      <i/>
      <sz val="11"/>
      <name val="Arial"/>
      <family val="2"/>
    </font>
    <font>
      <i/>
      <sz val="12"/>
      <name val="Arial"/>
      <family val="2"/>
    </font>
    <font>
      <sz val="12"/>
      <name val="Arial"/>
      <family val="2"/>
    </font>
    <font>
      <i/>
      <sz val="10"/>
      <color rgb="FF00B0F0"/>
      <name val="Arial"/>
      <family val="2"/>
    </font>
    <font>
      <b/>
      <sz val="11"/>
      <color theme="9" tint="-0.249977111117893"/>
      <name val="Arial"/>
      <family val="2"/>
    </font>
    <font>
      <b/>
      <sz val="24"/>
      <color rgb="FFFF0000"/>
      <name val="Calibri"/>
      <family val="2"/>
      <scheme val="minor"/>
    </font>
    <font>
      <sz val="14"/>
      <color rgb="FFFF0000"/>
      <name val="Calibri"/>
      <family val="2"/>
      <scheme val="minor"/>
    </font>
    <font>
      <sz val="14"/>
      <color theme="1"/>
      <name val="Calibri"/>
      <family val="2"/>
      <scheme val="minor"/>
    </font>
    <font>
      <sz val="10"/>
      <color theme="0"/>
      <name val="Calibri"/>
      <family val="2"/>
      <scheme val="minor"/>
    </font>
    <font>
      <b/>
      <sz val="10"/>
      <color theme="0"/>
      <name val="Calibri"/>
      <family val="2"/>
      <scheme val="minor"/>
    </font>
    <font>
      <sz val="10"/>
      <name val="Calibri"/>
      <family val="2"/>
      <scheme val="minor"/>
    </font>
    <font>
      <vertAlign val="subscript"/>
      <sz val="10"/>
      <color theme="0"/>
      <name val="Calibri"/>
      <family val="2"/>
      <scheme val="minor"/>
    </font>
    <font>
      <sz val="10"/>
      <color rgb="FFFF0000"/>
      <name val="Calibri"/>
      <family val="2"/>
      <scheme val="minor"/>
    </font>
    <font>
      <b/>
      <vertAlign val="subscript"/>
      <sz val="11"/>
      <color theme="1"/>
      <name val="Calibri"/>
      <family val="2"/>
      <scheme val="minor"/>
    </font>
    <font>
      <b/>
      <i/>
      <sz val="10"/>
      <color theme="0"/>
      <name val="Calibri"/>
      <family val="2"/>
      <scheme val="minor"/>
    </font>
    <font>
      <b/>
      <vertAlign val="subscript"/>
      <sz val="10"/>
      <color theme="0"/>
      <name val="Calibri"/>
      <family val="2"/>
      <scheme val="minor"/>
    </font>
    <font>
      <b/>
      <vertAlign val="superscript"/>
      <sz val="10"/>
      <color theme="0"/>
      <name val="Calibri"/>
      <family val="2"/>
      <scheme val="minor"/>
    </font>
    <font>
      <b/>
      <sz val="10"/>
      <color rgb="FF329696"/>
      <name val="Calibri"/>
      <family val="2"/>
      <scheme val="minor"/>
    </font>
    <font>
      <i/>
      <sz val="10"/>
      <color theme="0"/>
      <name val="Calibri"/>
      <family val="2"/>
      <scheme val="minor"/>
    </font>
    <font>
      <b/>
      <sz val="10"/>
      <name val="Calibri"/>
      <family val="2"/>
      <scheme val="minor"/>
    </font>
    <font>
      <b/>
      <vertAlign val="subscript"/>
      <sz val="12"/>
      <name val="Calibri"/>
      <family val="2"/>
      <scheme val="minor"/>
    </font>
    <font>
      <b/>
      <sz val="14"/>
      <name val="Calibri"/>
      <family val="2"/>
    </font>
    <font>
      <sz val="11"/>
      <color rgb="FF000000"/>
      <name val="Calibri"/>
    </font>
    <font>
      <sz val="11"/>
      <color rgb="FFFF0000"/>
      <name val="Calibri"/>
    </font>
    <font>
      <i/>
      <u/>
      <sz val="11"/>
      <color rgb="FF000000"/>
      <name val="Calibri"/>
    </font>
    <font>
      <sz val="11"/>
      <name val="Calibri"/>
    </font>
  </fonts>
  <fills count="14">
    <fill>
      <patternFill patternType="none"/>
    </fill>
    <fill>
      <patternFill patternType="gray125"/>
    </fill>
    <fill>
      <patternFill patternType="solid">
        <fgColor rgb="FF1B8ABF"/>
        <bgColor indexed="64"/>
      </patternFill>
    </fill>
    <fill>
      <patternFill patternType="solid">
        <fgColor theme="0"/>
        <bgColor indexed="64"/>
      </patternFill>
    </fill>
    <fill>
      <patternFill patternType="solid">
        <fgColor rgb="FFFFFFCC"/>
        <bgColor indexed="64"/>
      </patternFill>
    </fill>
    <fill>
      <patternFill patternType="solid">
        <fgColor rgb="FFDFDFE1"/>
        <bgColor indexed="64"/>
      </patternFill>
    </fill>
    <fill>
      <patternFill patternType="solid">
        <fgColor rgb="FFB5E0E1"/>
        <bgColor indexed="64"/>
      </patternFill>
    </fill>
    <fill>
      <patternFill patternType="solid">
        <fgColor rgb="FFFAB627"/>
        <bgColor indexed="64"/>
      </patternFill>
    </fill>
    <fill>
      <patternFill patternType="solid">
        <fgColor rgb="FF1B8ABF"/>
        <bgColor theme="4" tint="0.79998168889431442"/>
      </patternFill>
    </fill>
    <fill>
      <patternFill patternType="solid">
        <fgColor rgb="FF1B8ABF"/>
        <bgColor theme="4"/>
      </patternFill>
    </fill>
    <fill>
      <patternFill patternType="solid">
        <fgColor theme="0" tint="-0.499984740745262"/>
        <bgColor indexed="64"/>
      </patternFill>
    </fill>
    <fill>
      <patternFill patternType="solid">
        <fgColor indexed="22"/>
      </patternFill>
    </fill>
    <fill>
      <patternFill patternType="solid">
        <fgColor indexed="57"/>
      </patternFill>
    </fill>
    <fill>
      <patternFill patternType="solid">
        <fgColor theme="0" tint="-0.14999847407452621"/>
        <bgColor indexed="64"/>
      </patternFill>
    </fill>
  </fills>
  <borders count="87">
    <border>
      <left/>
      <right/>
      <top/>
      <bottom/>
      <diagonal/>
    </border>
    <border>
      <left/>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style="thin">
        <color auto="1"/>
      </left>
      <right/>
      <top/>
      <bottom/>
      <diagonal/>
    </border>
    <border>
      <left/>
      <right style="thin">
        <color auto="1"/>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indexed="64"/>
      </left>
      <right/>
      <top/>
      <bottom style="thin">
        <color indexed="64"/>
      </bottom>
      <diagonal/>
    </border>
    <border>
      <left/>
      <right/>
      <top/>
      <bottom style="thin">
        <color indexed="64"/>
      </bottom>
      <diagonal/>
    </border>
    <border>
      <left/>
      <right style="thin">
        <color auto="1"/>
      </right>
      <top/>
      <bottom style="thin">
        <color auto="1"/>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auto="1"/>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auto="1"/>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auto="1"/>
      </right>
      <top style="thin">
        <color indexed="64"/>
      </top>
      <bottom/>
      <diagonal/>
    </border>
    <border>
      <left style="medium">
        <color indexed="64"/>
      </left>
      <right/>
      <top style="medium">
        <color indexed="64"/>
      </top>
      <bottom style="thin">
        <color indexed="64"/>
      </bottom>
      <diagonal/>
    </border>
    <border>
      <left style="thin">
        <color indexed="63"/>
      </left>
      <right style="thin">
        <color indexed="63"/>
      </right>
      <top style="thin">
        <color indexed="63"/>
      </top>
      <bottom style="thin">
        <color indexed="63"/>
      </bottom>
      <diagonal/>
    </border>
    <border>
      <left style="medium">
        <color indexed="64"/>
      </left>
      <right/>
      <top style="thin">
        <color indexed="64"/>
      </top>
      <bottom/>
      <diagonal/>
    </border>
    <border>
      <left/>
      <right style="medium">
        <color indexed="64"/>
      </right>
      <top/>
      <bottom style="thin">
        <color indexed="64"/>
      </bottom>
      <diagonal/>
    </border>
    <border>
      <left style="medium">
        <color auto="1"/>
      </left>
      <right style="thin">
        <color auto="1"/>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medium">
        <color indexed="64"/>
      </top>
      <bottom/>
      <diagonal/>
    </border>
    <border>
      <left/>
      <right style="thin">
        <color indexed="64"/>
      </right>
      <top style="thin">
        <color auto="1"/>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bottom style="double">
        <color indexed="64"/>
      </bottom>
      <diagonal/>
    </border>
    <border>
      <left style="medium">
        <color indexed="64"/>
      </left>
      <right style="medium">
        <color indexed="64"/>
      </right>
      <top/>
      <bottom style="double">
        <color indexed="64"/>
      </bottom>
      <diagonal/>
    </border>
    <border>
      <left style="medium">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style="thin">
        <color auto="1"/>
      </right>
      <top style="double">
        <color indexed="64"/>
      </top>
      <bottom style="thin">
        <color auto="1"/>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medium">
        <color indexed="64"/>
      </right>
      <top style="double">
        <color auto="1"/>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thin">
        <color auto="1"/>
      </right>
      <top/>
      <bottom style="medium">
        <color indexed="64"/>
      </bottom>
      <diagonal/>
    </border>
    <border>
      <left style="thin">
        <color auto="1"/>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65" fillId="11" borderId="56" applyNumberFormat="0" applyAlignment="0" applyProtection="0"/>
    <xf numFmtId="0" fontId="67" fillId="12" borderId="0" applyNumberFormat="0" applyBorder="0" applyAlignment="0" applyProtection="0"/>
    <xf numFmtId="0" fontId="68" fillId="0" borderId="0" applyNumberFormat="0" applyFill="0" applyBorder="0" applyAlignment="0" applyProtection="0"/>
    <xf numFmtId="9" fontId="96" fillId="0" borderId="0" applyFont="0" applyFill="0" applyBorder="0" applyAlignment="0" applyProtection="0"/>
  </cellStyleXfs>
  <cellXfs count="1116">
    <xf numFmtId="0" fontId="0" fillId="0" borderId="0" xfId="0"/>
    <xf numFmtId="0" fontId="7" fillId="2" borderId="0" xfId="0" applyFont="1" applyFill="1" applyAlignment="1" applyProtection="1">
      <alignment vertical="center"/>
      <protection locked="0"/>
    </xf>
    <xf numFmtId="0" fontId="7" fillId="2" borderId="1" xfId="0" applyFont="1" applyFill="1" applyBorder="1" applyAlignment="1" applyProtection="1">
      <alignment vertical="center"/>
      <protection locked="0"/>
    </xf>
    <xf numFmtId="0" fontId="8" fillId="2" borderId="0" xfId="0" applyFont="1" applyFill="1" applyAlignment="1">
      <alignment vertical="center"/>
    </xf>
    <xf numFmtId="0" fontId="9" fillId="2" borderId="0" xfId="0" applyFont="1" applyFill="1" applyAlignment="1" applyProtection="1">
      <alignment vertical="center"/>
      <protection locked="0"/>
    </xf>
    <xf numFmtId="0" fontId="7" fillId="0" borderId="5" xfId="0" applyFont="1" applyBorder="1" applyAlignment="1" applyProtection="1">
      <alignment vertical="center"/>
      <protection locked="0"/>
    </xf>
    <xf numFmtId="0" fontId="7" fillId="0" borderId="6" xfId="0" applyFont="1" applyBorder="1" applyAlignment="1" applyProtection="1">
      <alignment vertical="center"/>
      <protection locked="0"/>
    </xf>
    <xf numFmtId="0" fontId="8" fillId="2" borderId="7" xfId="0" applyFont="1" applyFill="1" applyBorder="1" applyAlignment="1">
      <alignment horizontal="center" vertical="center"/>
    </xf>
    <xf numFmtId="0" fontId="0" fillId="4" borderId="7" xfId="0" applyFill="1" applyBorder="1" applyAlignment="1">
      <alignment horizontal="center" vertical="center"/>
    </xf>
    <xf numFmtId="0" fontId="6" fillId="0" borderId="7" xfId="3" applyFill="1" applyBorder="1" applyAlignment="1">
      <alignment horizontal="center" vertical="center"/>
    </xf>
    <xf numFmtId="39" fontId="0" fillId="5" borderId="7" xfId="1" applyNumberFormat="1" applyFont="1" applyFill="1" applyBorder="1" applyAlignment="1">
      <alignment horizontal="center" vertical="center"/>
    </xf>
    <xf numFmtId="0" fontId="0" fillId="6" borderId="7" xfId="0" applyFill="1" applyBorder="1" applyAlignment="1">
      <alignment horizontal="center" vertical="center"/>
    </xf>
    <xf numFmtId="0" fontId="6" fillId="0" borderId="7" xfId="3" applyBorder="1" applyAlignment="1">
      <alignment horizontal="center" vertical="center"/>
    </xf>
    <xf numFmtId="0" fontId="7" fillId="0" borderId="0" xfId="0" applyFont="1" applyAlignment="1" applyProtection="1">
      <alignment horizontal="center" vertical="center"/>
      <protection locked="0"/>
    </xf>
    <xf numFmtId="0" fontId="0" fillId="7" borderId="7" xfId="0" applyFill="1" applyBorder="1" applyAlignment="1">
      <alignment horizontal="center" vertical="center"/>
    </xf>
    <xf numFmtId="0" fontId="8" fillId="0" borderId="0" xfId="0" applyFont="1" applyAlignment="1">
      <alignment horizontal="center" vertical="center"/>
    </xf>
    <xf numFmtId="0" fontId="13" fillId="0" borderId="0" xfId="3" applyFont="1" applyBorder="1" applyAlignment="1">
      <alignment horizontal="center" vertical="center"/>
    </xf>
    <xf numFmtId="0" fontId="12" fillId="3" borderId="0" xfId="0" applyFont="1" applyFill="1" applyAlignment="1" applyProtection="1">
      <alignment horizontal="center" vertical="center"/>
      <protection locked="0"/>
    </xf>
    <xf numFmtId="0" fontId="7" fillId="2" borderId="0" xfId="0" applyFont="1" applyFill="1" applyAlignment="1" applyProtection="1">
      <alignment horizontal="center" vertical="center"/>
      <protection locked="0"/>
    </xf>
    <xf numFmtId="3" fontId="11" fillId="2" borderId="0" xfId="0" applyNumberFormat="1" applyFont="1" applyFill="1" applyAlignment="1" applyProtection="1">
      <alignment horizontal="center" vertical="center"/>
      <protection locked="0"/>
    </xf>
    <xf numFmtId="0" fontId="7" fillId="2" borderId="0" xfId="0" quotePrefix="1" applyFont="1" applyFill="1" applyAlignment="1" applyProtection="1">
      <alignment horizontal="center" vertical="center"/>
      <protection locked="0"/>
    </xf>
    <xf numFmtId="3" fontId="7" fillId="2" borderId="0" xfId="0" applyNumberFormat="1" applyFont="1" applyFill="1" applyAlignment="1" applyProtection="1">
      <alignment horizontal="center" vertical="center"/>
      <protection locked="0"/>
    </xf>
    <xf numFmtId="37" fontId="11" fillId="2" borderId="0" xfId="1" applyNumberFormat="1" applyFont="1" applyFill="1" applyBorder="1" applyAlignment="1" applyProtection="1">
      <alignment horizontal="center" vertical="center" wrapText="1"/>
    </xf>
    <xf numFmtId="0" fontId="11" fillId="2" borderId="0" xfId="0" applyFont="1" applyFill="1" applyAlignment="1" applyProtection="1">
      <alignment horizontal="center" vertical="center" wrapText="1"/>
      <protection locked="0"/>
    </xf>
    <xf numFmtId="3" fontId="11" fillId="2" borderId="0" xfId="0" applyNumberFormat="1" applyFont="1" applyFill="1" applyAlignment="1">
      <alignment horizontal="center" vertical="center"/>
    </xf>
    <xf numFmtId="164" fontId="11" fillId="2" borderId="0" xfId="0" applyNumberFormat="1" applyFont="1" applyFill="1" applyAlignment="1" applyProtection="1">
      <alignment horizontal="center" vertical="center"/>
      <protection locked="0"/>
    </xf>
    <xf numFmtId="0" fontId="11" fillId="2" borderId="0" xfId="0" applyFont="1" applyFill="1" applyAlignment="1" applyProtection="1">
      <alignment vertical="center"/>
      <protection locked="0"/>
    </xf>
    <xf numFmtId="0" fontId="9" fillId="2" borderId="0" xfId="0" applyFont="1" applyFill="1" applyAlignment="1" applyProtection="1">
      <alignment vertical="center" wrapText="1"/>
      <protection locked="0"/>
    </xf>
    <xf numFmtId="0" fontId="14" fillId="2" borderId="0" xfId="0" applyFont="1" applyFill="1" applyAlignment="1" applyProtection="1">
      <alignment vertical="center" wrapText="1"/>
      <protection locked="0"/>
    </xf>
    <xf numFmtId="165" fontId="11" fillId="2" borderId="0" xfId="0" applyNumberFormat="1" applyFont="1" applyFill="1" applyAlignment="1">
      <alignment horizontal="center" vertical="center"/>
    </xf>
    <xf numFmtId="166" fontId="11" fillId="2" borderId="0" xfId="1" applyNumberFormat="1" applyFont="1" applyFill="1" applyBorder="1" applyAlignment="1" applyProtection="1">
      <alignment horizontal="center" vertical="center" wrapText="1"/>
    </xf>
    <xf numFmtId="3" fontId="15" fillId="2" borderId="0" xfId="0" applyNumberFormat="1" applyFont="1" applyFill="1" applyAlignment="1" applyProtection="1">
      <alignment vertical="center"/>
      <protection locked="0"/>
    </xf>
    <xf numFmtId="4" fontId="15" fillId="2" borderId="0" xfId="0" applyNumberFormat="1" applyFont="1" applyFill="1" applyAlignment="1">
      <alignment vertical="center"/>
    </xf>
    <xf numFmtId="3" fontId="15" fillId="2" borderId="0" xfId="0" applyNumberFormat="1" applyFont="1" applyFill="1" applyAlignment="1">
      <alignment vertical="center"/>
    </xf>
    <xf numFmtId="3" fontId="15" fillId="2" borderId="0" xfId="0" applyNumberFormat="1" applyFont="1" applyFill="1" applyAlignment="1">
      <alignment horizontal="center" vertical="center" wrapText="1"/>
    </xf>
    <xf numFmtId="3" fontId="15" fillId="2" borderId="0" xfId="0" applyNumberFormat="1" applyFont="1" applyFill="1" applyAlignment="1" applyProtection="1">
      <alignment horizontal="center" vertical="center"/>
      <protection locked="0"/>
    </xf>
    <xf numFmtId="0" fontId="15" fillId="2" borderId="0" xfId="0" applyFont="1" applyFill="1" applyAlignment="1" applyProtection="1">
      <alignment vertical="center"/>
      <protection locked="0"/>
    </xf>
    <xf numFmtId="0" fontId="15" fillId="2" borderId="0" xfId="0" applyFont="1" applyFill="1" applyAlignment="1">
      <alignment horizontal="center" vertical="center" wrapText="1"/>
    </xf>
    <xf numFmtId="0" fontId="15" fillId="2" borderId="0" xfId="0" applyFont="1" applyFill="1" applyAlignment="1" applyProtection="1">
      <alignment horizontal="center" vertical="center" wrapText="1"/>
      <protection locked="0"/>
    </xf>
    <xf numFmtId="0" fontId="7" fillId="2" borderId="0" xfId="0" applyFont="1" applyFill="1" applyAlignment="1">
      <alignment vertical="center"/>
    </xf>
    <xf numFmtId="0" fontId="7" fillId="2" borderId="0" xfId="0" applyFont="1" applyFill="1" applyAlignment="1">
      <alignment horizontal="right" vertical="center"/>
    </xf>
    <xf numFmtId="3" fontId="11" fillId="2" borderId="0" xfId="0" applyNumberFormat="1" applyFont="1" applyFill="1" applyAlignment="1" applyProtection="1">
      <alignment horizontal="right" vertical="center"/>
      <protection locked="0"/>
    </xf>
    <xf numFmtId="3" fontId="11" fillId="2" borderId="0" xfId="0" applyNumberFormat="1" applyFont="1" applyFill="1" applyAlignment="1" applyProtection="1">
      <alignment horizontal="left" vertical="center"/>
      <protection locked="0"/>
    </xf>
    <xf numFmtId="3" fontId="11" fillId="2" borderId="0" xfId="0" applyNumberFormat="1" applyFont="1" applyFill="1" applyAlignment="1" applyProtection="1">
      <alignment vertical="center"/>
      <protection locked="0"/>
    </xf>
    <xf numFmtId="167" fontId="11" fillId="2" borderId="0" xfId="2" applyNumberFormat="1" applyFont="1" applyFill="1" applyBorder="1" applyAlignment="1" applyProtection="1">
      <alignment horizontal="center" vertical="center" wrapText="1"/>
    </xf>
    <xf numFmtId="0" fontId="11" fillId="2" borderId="0" xfId="0" applyFont="1" applyFill="1" applyAlignment="1" applyProtection="1">
      <alignment horizontal="left" vertical="center" wrapText="1"/>
      <protection locked="0"/>
    </xf>
    <xf numFmtId="37" fontId="11" fillId="2" borderId="0" xfId="0" applyNumberFormat="1" applyFont="1" applyFill="1" applyAlignment="1" applyProtection="1">
      <alignment horizontal="right" vertical="center"/>
      <protection locked="0"/>
    </xf>
    <xf numFmtId="3" fontId="11" fillId="2" borderId="0" xfId="0" applyNumberFormat="1" applyFont="1" applyFill="1" applyAlignment="1">
      <alignment horizontal="right" vertical="center"/>
    </xf>
    <xf numFmtId="0" fontId="11" fillId="2" borderId="0" xfId="0" applyFont="1" applyFill="1" applyAlignment="1" applyProtection="1">
      <alignment horizontal="right" vertical="center"/>
      <protection locked="0"/>
    </xf>
    <xf numFmtId="43" fontId="11" fillId="2" borderId="0" xfId="1" applyFont="1" applyFill="1" applyBorder="1" applyAlignment="1" applyProtection="1">
      <alignment horizontal="center" vertical="center" wrapText="1"/>
    </xf>
    <xf numFmtId="37" fontId="11" fillId="2" borderId="0" xfId="0" applyNumberFormat="1" applyFont="1" applyFill="1" applyAlignment="1">
      <alignment horizontal="right" vertical="center"/>
    </xf>
    <xf numFmtId="39" fontId="11" fillId="2" borderId="0" xfId="1" applyNumberFormat="1" applyFont="1" applyFill="1" applyBorder="1" applyAlignment="1" applyProtection="1">
      <alignment horizontal="right" vertical="center"/>
      <protection locked="0"/>
    </xf>
    <xf numFmtId="37" fontId="11" fillId="2" borderId="0" xfId="1" applyNumberFormat="1" applyFont="1" applyFill="1" applyBorder="1" applyAlignment="1" applyProtection="1">
      <alignment vertical="center"/>
      <protection locked="0"/>
    </xf>
    <xf numFmtId="43" fontId="16" fillId="2" borderId="0" xfId="1" applyFont="1" applyFill="1" applyBorder="1" applyAlignment="1" applyProtection="1">
      <alignment horizontal="center" vertical="center" wrapText="1"/>
    </xf>
    <xf numFmtId="3" fontId="11" fillId="2" borderId="0" xfId="0" applyNumberFormat="1" applyFont="1" applyFill="1" applyAlignment="1">
      <alignment horizontal="left" vertical="center"/>
    </xf>
    <xf numFmtId="3" fontId="7" fillId="2" borderId="0" xfId="0" applyNumberFormat="1" applyFont="1" applyFill="1" applyAlignment="1">
      <alignment horizontal="right" vertical="center" wrapText="1"/>
    </xf>
    <xf numFmtId="0" fontId="11" fillId="2" borderId="0" xfId="0" applyFont="1" applyFill="1" applyAlignment="1" applyProtection="1">
      <alignment horizontal="center" vertical="center"/>
      <protection locked="0"/>
    </xf>
    <xf numFmtId="0" fontId="7" fillId="2" borderId="0" xfId="0" applyFont="1" applyFill="1" applyAlignment="1" applyProtection="1">
      <alignment horizontal="left" vertical="center"/>
      <protection locked="0"/>
    </xf>
    <xf numFmtId="3" fontId="7" fillId="2" borderId="0" xfId="0" applyNumberFormat="1" applyFont="1" applyFill="1" applyAlignment="1" applyProtection="1">
      <alignment horizontal="right" vertical="center"/>
      <protection locked="0"/>
    </xf>
    <xf numFmtId="43" fontId="7" fillId="2" borderId="0" xfId="1" applyFont="1" applyFill="1" applyBorder="1" applyAlignment="1" applyProtection="1">
      <alignment horizontal="center" vertical="center"/>
      <protection locked="0"/>
    </xf>
    <xf numFmtId="43" fontId="7" fillId="2" borderId="0" xfId="1" applyFont="1" applyFill="1" applyBorder="1" applyAlignment="1" applyProtection="1">
      <alignment vertical="center"/>
      <protection locked="0"/>
    </xf>
    <xf numFmtId="37" fontId="7" fillId="2" borderId="0" xfId="0" applyNumberFormat="1" applyFont="1" applyFill="1" applyAlignment="1" applyProtection="1">
      <alignment horizontal="center" vertical="center"/>
      <protection locked="0"/>
    </xf>
    <xf numFmtId="0" fontId="15" fillId="2" borderId="0" xfId="0" applyFont="1" applyFill="1" applyAlignment="1">
      <alignment vertical="center" wrapText="1"/>
    </xf>
    <xf numFmtId="0" fontId="17" fillId="2" borderId="0" xfId="0" applyFont="1" applyFill="1" applyAlignment="1">
      <alignment vertical="center" wrapText="1"/>
    </xf>
    <xf numFmtId="39" fontId="18" fillId="2" borderId="0" xfId="0" applyNumberFormat="1" applyFont="1" applyFill="1" applyAlignment="1" applyProtection="1">
      <alignment horizontal="center" vertical="center" wrapText="1"/>
      <protection locked="0"/>
    </xf>
    <xf numFmtId="43" fontId="11" fillId="2" borderId="0" xfId="1" applyFont="1" applyFill="1" applyBorder="1" applyAlignment="1" applyProtection="1">
      <alignment horizontal="center" vertical="center" wrapText="1"/>
      <protection locked="0"/>
    </xf>
    <xf numFmtId="0" fontId="19" fillId="2" borderId="0" xfId="0" applyFont="1" applyFill="1" applyAlignment="1">
      <alignment horizontal="center" vertical="center" wrapText="1"/>
    </xf>
    <xf numFmtId="0" fontId="19" fillId="2" borderId="0" xfId="0" applyFont="1" applyFill="1" applyAlignment="1">
      <alignment horizontal="center" vertical="center"/>
    </xf>
    <xf numFmtId="2" fontId="11" fillId="2" borderId="0" xfId="0" applyNumberFormat="1" applyFont="1" applyFill="1" applyAlignment="1">
      <alignment horizontal="center" vertical="center" wrapText="1"/>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7" fillId="2" borderId="0" xfId="0" applyFont="1" applyFill="1" applyAlignment="1" applyProtection="1">
      <alignment vertical="center" wrapText="1"/>
      <protection locked="0"/>
    </xf>
    <xf numFmtId="0" fontId="16" fillId="2" borderId="0" xfId="0" applyFont="1" applyFill="1" applyAlignment="1">
      <alignment horizontal="center" vertical="center"/>
    </xf>
    <xf numFmtId="0" fontId="19" fillId="2" borderId="0" xfId="0" applyFont="1" applyFill="1" applyAlignment="1">
      <alignment horizontal="left" vertical="center" wrapText="1"/>
    </xf>
    <xf numFmtId="2" fontId="15" fillId="2" borderId="0" xfId="0" applyNumberFormat="1" applyFont="1" applyFill="1" applyAlignment="1">
      <alignment horizontal="center" vertical="center"/>
    </xf>
    <xf numFmtId="4" fontId="16" fillId="2" borderId="0" xfId="0" applyNumberFormat="1" applyFont="1" applyFill="1" applyAlignment="1">
      <alignment horizontal="center" vertical="center"/>
    </xf>
    <xf numFmtId="0" fontId="20" fillId="2" borderId="0" xfId="0" applyFont="1" applyFill="1" applyAlignment="1">
      <alignment horizontal="center" vertical="center"/>
    </xf>
    <xf numFmtId="0" fontId="16" fillId="2" borderId="0" xfId="0" applyFont="1" applyFill="1" applyAlignment="1">
      <alignment horizontal="left" vertical="center"/>
    </xf>
    <xf numFmtId="4" fontId="21" fillId="2" borderId="0" xfId="0" applyNumberFormat="1" applyFont="1" applyFill="1" applyAlignment="1">
      <alignment horizontal="center" vertical="center"/>
    </xf>
    <xf numFmtId="3" fontId="7" fillId="2" borderId="0" xfId="0" applyNumberFormat="1" applyFont="1" applyFill="1" applyAlignment="1" applyProtection="1">
      <alignment vertical="center"/>
      <protection locked="0"/>
    </xf>
    <xf numFmtId="166" fontId="7" fillId="2" borderId="0" xfId="1" applyNumberFormat="1" applyFont="1" applyFill="1" applyBorder="1" applyAlignment="1" applyProtection="1">
      <alignment vertical="center"/>
      <protection locked="0"/>
    </xf>
    <xf numFmtId="2" fontId="19" fillId="2" borderId="0" xfId="0" applyNumberFormat="1" applyFont="1" applyFill="1" applyAlignment="1">
      <alignment horizontal="center" vertical="center"/>
    </xf>
    <xf numFmtId="2" fontId="11" fillId="2" borderId="0" xfId="2" applyNumberFormat="1" applyFont="1" applyFill="1" applyBorder="1" applyAlignment="1" applyProtection="1">
      <alignment horizontal="center" vertical="center"/>
    </xf>
    <xf numFmtId="43" fontId="7" fillId="2" borderId="0" xfId="0" applyNumberFormat="1" applyFont="1" applyFill="1" applyAlignment="1" applyProtection="1">
      <alignment vertical="center"/>
      <protection locked="0"/>
    </xf>
    <xf numFmtId="0" fontId="22" fillId="2" borderId="0" xfId="0" applyFont="1" applyFill="1" applyAlignment="1" applyProtection="1">
      <alignment horizontal="right" vertical="center"/>
      <protection locked="0"/>
    </xf>
    <xf numFmtId="37" fontId="22" fillId="2" borderId="0" xfId="1" applyNumberFormat="1" applyFont="1" applyFill="1" applyBorder="1" applyAlignment="1" applyProtection="1">
      <alignment horizontal="center" vertical="center"/>
    </xf>
    <xf numFmtId="2" fontId="23" fillId="2" borderId="0" xfId="2" applyNumberFormat="1" applyFont="1" applyFill="1" applyBorder="1" applyAlignment="1" applyProtection="1">
      <alignment horizontal="right" vertical="center"/>
    </xf>
    <xf numFmtId="168" fontId="19" fillId="2" borderId="0" xfId="1" applyNumberFormat="1" applyFont="1" applyFill="1" applyBorder="1" applyAlignment="1" applyProtection="1">
      <alignment horizontal="center" vertical="center"/>
    </xf>
    <xf numFmtId="166" fontId="7" fillId="2" borderId="0" xfId="1" applyNumberFormat="1" applyFont="1" applyFill="1" applyBorder="1" applyAlignment="1" applyProtection="1">
      <alignment horizontal="center" vertical="center"/>
      <protection locked="0"/>
    </xf>
    <xf numFmtId="0" fontId="7" fillId="2" borderId="0" xfId="0" applyFont="1" applyFill="1" applyAlignment="1">
      <alignment horizontal="center" vertical="center"/>
    </xf>
    <xf numFmtId="169" fontId="19" fillId="2" borderId="0" xfId="0" applyNumberFormat="1" applyFont="1" applyFill="1" applyAlignment="1">
      <alignment horizontal="center" vertical="center"/>
    </xf>
    <xf numFmtId="0" fontId="24" fillId="2" borderId="0" xfId="0" applyFont="1" applyFill="1" applyAlignment="1">
      <alignment horizontal="center" vertical="center"/>
    </xf>
    <xf numFmtId="37" fontId="22" fillId="2" borderId="0" xfId="0" applyNumberFormat="1" applyFont="1" applyFill="1" applyAlignment="1">
      <alignment horizontal="center" vertical="center"/>
    </xf>
    <xf numFmtId="0" fontId="19" fillId="2" borderId="0" xfId="0" applyFont="1" applyFill="1" applyAlignment="1">
      <alignment vertical="center"/>
    </xf>
    <xf numFmtId="0" fontId="11" fillId="2" borderId="0" xfId="0" applyFont="1" applyFill="1" applyAlignment="1">
      <alignment vertical="center"/>
    </xf>
    <xf numFmtId="0" fontId="22" fillId="2" borderId="0" xfId="0" applyFont="1" applyFill="1" applyAlignment="1">
      <alignment horizontal="left" vertical="center"/>
    </xf>
    <xf numFmtId="3" fontId="7" fillId="2" borderId="0" xfId="0" applyNumberFormat="1" applyFont="1" applyFill="1" applyAlignment="1">
      <alignment horizontal="center" vertical="center"/>
    </xf>
    <xf numFmtId="166" fontId="7" fillId="2" borderId="0" xfId="0" applyNumberFormat="1" applyFont="1" applyFill="1" applyAlignment="1" applyProtection="1">
      <alignment vertical="center"/>
      <protection locked="0"/>
    </xf>
    <xf numFmtId="10" fontId="7" fillId="2" borderId="0" xfId="2" applyNumberFormat="1" applyFont="1" applyFill="1" applyBorder="1" applyAlignment="1" applyProtection="1">
      <alignment vertical="center"/>
      <protection locked="0"/>
    </xf>
    <xf numFmtId="170" fontId="11" fillId="2" borderId="0" xfId="0" applyNumberFormat="1" applyFont="1" applyFill="1" applyAlignment="1">
      <alignment vertical="center"/>
    </xf>
    <xf numFmtId="166" fontId="7" fillId="2" borderId="0" xfId="0" applyNumberFormat="1" applyFont="1" applyFill="1" applyAlignment="1">
      <alignment vertical="center"/>
    </xf>
    <xf numFmtId="2" fontId="7" fillId="2" borderId="0" xfId="0" applyNumberFormat="1" applyFont="1" applyFill="1" applyAlignment="1">
      <alignment horizontal="center" vertical="center"/>
    </xf>
    <xf numFmtId="37" fontId="7" fillId="2" borderId="0" xfId="1" applyNumberFormat="1" applyFont="1" applyFill="1" applyBorder="1" applyAlignment="1" applyProtection="1">
      <alignment vertical="center"/>
    </xf>
    <xf numFmtId="0" fontId="19" fillId="2" borderId="0" xfId="0" applyFont="1" applyFill="1" applyAlignment="1">
      <alignment horizontal="left" vertical="center"/>
    </xf>
    <xf numFmtId="4" fontId="19" fillId="2" borderId="0" xfId="0" applyNumberFormat="1" applyFont="1" applyFill="1" applyAlignment="1">
      <alignment horizontal="center" vertical="center"/>
    </xf>
    <xf numFmtId="4" fontId="11" fillId="2" borderId="0" xfId="0" applyNumberFormat="1" applyFont="1" applyFill="1" applyAlignment="1" applyProtection="1">
      <alignment vertical="center"/>
      <protection locked="0"/>
    </xf>
    <xf numFmtId="166" fontId="7" fillId="2" borderId="0" xfId="1" applyNumberFormat="1" applyFont="1" applyFill="1" applyBorder="1" applyAlignment="1" applyProtection="1">
      <alignment vertical="center"/>
    </xf>
    <xf numFmtId="0" fontId="23" fillId="2" borderId="0" xfId="0" applyFont="1" applyFill="1" applyAlignment="1">
      <alignment horizontal="right" vertical="center"/>
    </xf>
    <xf numFmtId="43" fontId="11" fillId="2" borderId="0" xfId="0" applyNumberFormat="1" applyFont="1" applyFill="1" applyAlignment="1">
      <alignment vertical="center"/>
    </xf>
    <xf numFmtId="43" fontId="7" fillId="2" borderId="0" xfId="0" applyNumberFormat="1" applyFont="1" applyFill="1" applyAlignment="1">
      <alignment vertical="center"/>
    </xf>
    <xf numFmtId="1" fontId="11" fillId="2" borderId="0" xfId="0" applyNumberFormat="1" applyFont="1" applyFill="1" applyAlignment="1">
      <alignment vertical="center"/>
    </xf>
    <xf numFmtId="171" fontId="7" fillId="2" borderId="0" xfId="0" applyNumberFormat="1" applyFont="1" applyFill="1" applyAlignment="1">
      <alignment vertical="center"/>
    </xf>
    <xf numFmtId="0" fontId="23" fillId="2" borderId="0" xfId="0" applyFont="1" applyFill="1" applyAlignment="1">
      <alignment horizontal="right" vertical="center" wrapText="1"/>
    </xf>
    <xf numFmtId="166" fontId="11" fillId="2" borderId="0" xfId="1" applyNumberFormat="1" applyFont="1" applyFill="1" applyBorder="1" applyAlignment="1" applyProtection="1">
      <alignment vertical="center"/>
    </xf>
    <xf numFmtId="43" fontId="7" fillId="2" borderId="0" xfId="1" applyFont="1" applyFill="1" applyBorder="1" applyAlignment="1" applyProtection="1">
      <alignment vertical="center"/>
    </xf>
    <xf numFmtId="37" fontId="23" fillId="2" borderId="0" xfId="1" applyNumberFormat="1" applyFont="1" applyFill="1" applyBorder="1" applyAlignment="1" applyProtection="1">
      <alignment horizontal="center" vertical="center"/>
    </xf>
    <xf numFmtId="37" fontId="11" fillId="2" borderId="0" xfId="0" applyNumberFormat="1" applyFont="1" applyFill="1" applyAlignment="1">
      <alignment vertical="center"/>
    </xf>
    <xf numFmtId="39" fontId="19" fillId="2" borderId="0" xfId="1" applyNumberFormat="1" applyFont="1" applyFill="1" applyBorder="1" applyAlignment="1" applyProtection="1">
      <alignment horizontal="center" vertical="center"/>
    </xf>
    <xf numFmtId="37" fontId="23" fillId="2" borderId="0" xfId="0" applyNumberFormat="1" applyFont="1" applyFill="1" applyAlignment="1">
      <alignment horizontal="center" vertical="center"/>
    </xf>
    <xf numFmtId="0" fontId="22" fillId="2" borderId="0" xfId="0" applyFont="1" applyFill="1" applyAlignment="1">
      <alignment horizontal="right" vertical="center"/>
    </xf>
    <xf numFmtId="172" fontId="19" fillId="2" borderId="0" xfId="0" applyNumberFormat="1" applyFont="1" applyFill="1" applyAlignment="1">
      <alignment horizontal="center" vertical="center"/>
    </xf>
    <xf numFmtId="2" fontId="7" fillId="2" borderId="0" xfId="0" applyNumberFormat="1" applyFont="1" applyFill="1" applyAlignment="1">
      <alignment vertical="center" wrapText="1"/>
    </xf>
    <xf numFmtId="0" fontId="27" fillId="0" borderId="0" xfId="0" applyFont="1"/>
    <xf numFmtId="2" fontId="26" fillId="4" borderId="16" xfId="0" applyNumberFormat="1" applyFont="1" applyFill="1" applyBorder="1" applyAlignment="1">
      <alignment horizontal="left" vertical="center"/>
    </xf>
    <xf numFmtId="0" fontId="28" fillId="2" borderId="18" xfId="0" applyFont="1" applyFill="1" applyBorder="1" applyAlignment="1">
      <alignment horizontal="center" vertical="center" wrapText="1"/>
    </xf>
    <xf numFmtId="2" fontId="28" fillId="2" borderId="19" xfId="0" applyNumberFormat="1" applyFont="1" applyFill="1" applyBorder="1" applyAlignment="1">
      <alignment horizontal="center" vertical="center" wrapText="1"/>
    </xf>
    <xf numFmtId="0" fontId="28" fillId="2" borderId="20" xfId="0" applyFont="1" applyFill="1" applyBorder="1" applyAlignment="1">
      <alignment horizontal="right" vertical="center"/>
    </xf>
    <xf numFmtId="0" fontId="28" fillId="2" borderId="22" xfId="0" applyFont="1" applyFill="1" applyBorder="1" applyAlignment="1">
      <alignment vertical="center"/>
    </xf>
    <xf numFmtId="2" fontId="30" fillId="7" borderId="23" xfId="0" applyNumberFormat="1" applyFont="1" applyFill="1" applyBorder="1" applyAlignment="1">
      <alignment horizontal="center" vertical="center"/>
    </xf>
    <xf numFmtId="0" fontId="28" fillId="2" borderId="24" xfId="0" applyFont="1" applyFill="1" applyBorder="1" applyAlignment="1">
      <alignment horizontal="right" vertical="center"/>
    </xf>
    <xf numFmtId="0" fontId="27" fillId="0" borderId="23" xfId="0" applyFont="1" applyBorder="1" applyAlignment="1">
      <alignment horizontal="center" vertical="center" wrapText="1"/>
    </xf>
    <xf numFmtId="0" fontId="27" fillId="0" borderId="0" xfId="0" applyFont="1" applyAlignment="1">
      <alignment vertical="center"/>
    </xf>
    <xf numFmtId="0" fontId="28" fillId="2" borderId="24" xfId="0" applyFont="1" applyFill="1" applyBorder="1" applyAlignment="1">
      <alignment horizontal="right" vertical="center" wrapText="1"/>
    </xf>
    <xf numFmtId="0" fontId="28" fillId="2" borderId="10" xfId="0" applyFont="1" applyFill="1" applyBorder="1" applyAlignment="1">
      <alignment vertical="center"/>
    </xf>
    <xf numFmtId="0" fontId="27" fillId="0" borderId="25" xfId="0" applyFont="1" applyBorder="1" applyAlignment="1">
      <alignment horizontal="center" vertical="center"/>
    </xf>
    <xf numFmtId="0" fontId="28" fillId="2" borderId="20" xfId="0" applyFont="1" applyFill="1" applyBorder="1" applyAlignment="1">
      <alignment horizontal="right" vertical="center" wrapText="1"/>
    </xf>
    <xf numFmtId="173" fontId="27" fillId="5" borderId="26" xfId="0" applyNumberFormat="1" applyFont="1" applyFill="1" applyBorder="1" applyAlignment="1">
      <alignment horizontal="center" vertical="center"/>
    </xf>
    <xf numFmtId="0" fontId="31" fillId="0" borderId="27" xfId="0" applyFont="1" applyBorder="1" applyAlignment="1">
      <alignment vertical="center" wrapText="1"/>
    </xf>
    <xf numFmtId="0" fontId="32" fillId="0" borderId="13" xfId="0" applyFont="1" applyBorder="1" applyAlignment="1">
      <alignment vertical="center" wrapText="1"/>
    </xf>
    <xf numFmtId="0" fontId="28" fillId="2" borderId="13" xfId="0" applyFont="1" applyFill="1" applyBorder="1" applyAlignment="1">
      <alignment vertical="center"/>
    </xf>
    <xf numFmtId="0" fontId="27" fillId="5" borderId="28" xfId="0" applyFont="1" applyFill="1" applyBorder="1" applyAlignment="1">
      <alignment horizontal="center" vertical="center"/>
    </xf>
    <xf numFmtId="0" fontId="33" fillId="2" borderId="16" xfId="0" applyFont="1" applyFill="1" applyBorder="1" applyAlignment="1">
      <alignment horizontal="center" vertical="center"/>
    </xf>
    <xf numFmtId="0" fontId="33" fillId="2" borderId="29" xfId="0" applyFont="1" applyFill="1" applyBorder="1" applyAlignment="1">
      <alignment horizontal="center" vertical="center" wrapText="1"/>
    </xf>
    <xf numFmtId="0" fontId="33" fillId="2" borderId="30" xfId="0" applyFont="1" applyFill="1" applyBorder="1" applyAlignment="1">
      <alignment horizontal="center" vertical="center"/>
    </xf>
    <xf numFmtId="0" fontId="33" fillId="2" borderId="19" xfId="0" applyFont="1" applyFill="1" applyBorder="1" applyAlignment="1">
      <alignment horizontal="center" vertical="center" wrapText="1"/>
    </xf>
    <xf numFmtId="0" fontId="27" fillId="0" borderId="0" xfId="0" applyFont="1" applyAlignment="1">
      <alignment horizontal="center" vertical="center"/>
    </xf>
    <xf numFmtId="0" fontId="28" fillId="2" borderId="32" xfId="0" applyFont="1" applyFill="1" applyBorder="1" applyAlignment="1">
      <alignment vertical="center"/>
    </xf>
    <xf numFmtId="4" fontId="32" fillId="5" borderId="7" xfId="0" applyNumberFormat="1" applyFont="1" applyFill="1" applyBorder="1" applyAlignment="1">
      <alignment horizontal="center" vertical="center"/>
    </xf>
    <xf numFmtId="0" fontId="35" fillId="2" borderId="7" xfId="0" applyFont="1" applyFill="1" applyBorder="1" applyAlignment="1">
      <alignment horizontal="center" vertical="center"/>
    </xf>
    <xf numFmtId="0" fontId="32" fillId="0" borderId="33" xfId="0" applyFont="1" applyBorder="1" applyAlignment="1">
      <alignment wrapText="1"/>
    </xf>
    <xf numFmtId="0" fontId="35" fillId="2" borderId="22" xfId="0" applyFont="1" applyFill="1" applyBorder="1"/>
    <xf numFmtId="0" fontId="35" fillId="2" borderId="32" xfId="0" applyFont="1" applyFill="1" applyBorder="1" applyAlignment="1">
      <alignment horizontal="right" vertical="center"/>
    </xf>
    <xf numFmtId="3" fontId="32" fillId="5" borderId="7" xfId="0" applyNumberFormat="1" applyFont="1" applyFill="1" applyBorder="1" applyAlignment="1">
      <alignment horizontal="center" vertical="center"/>
    </xf>
    <xf numFmtId="164" fontId="32" fillId="5" borderId="7" xfId="0" applyNumberFormat="1" applyFont="1" applyFill="1" applyBorder="1" applyAlignment="1">
      <alignment horizontal="center" vertical="center"/>
    </xf>
    <xf numFmtId="0" fontId="27" fillId="5" borderId="7" xfId="0" applyFont="1" applyFill="1" applyBorder="1" applyAlignment="1">
      <alignment horizontal="center" vertical="center"/>
    </xf>
    <xf numFmtId="0" fontId="35" fillId="2" borderId="7" xfId="0" applyFont="1" applyFill="1" applyBorder="1"/>
    <xf numFmtId="0" fontId="28" fillId="8" borderId="32" xfId="0" applyFont="1" applyFill="1" applyBorder="1" applyAlignment="1">
      <alignment horizontal="right" vertical="center"/>
    </xf>
    <xf numFmtId="4" fontId="31" fillId="5" borderId="7" xfId="0" applyNumberFormat="1" applyFont="1" applyFill="1" applyBorder="1" applyAlignment="1">
      <alignment horizontal="center" vertical="center"/>
    </xf>
    <xf numFmtId="3" fontId="27" fillId="5" borderId="7" xfId="0" applyNumberFormat="1" applyFont="1" applyFill="1" applyBorder="1" applyAlignment="1">
      <alignment horizontal="center" vertical="center"/>
    </xf>
    <xf numFmtId="0" fontId="28" fillId="2" borderId="32" xfId="0" applyFont="1" applyFill="1" applyBorder="1" applyAlignment="1">
      <alignment horizontal="right" vertical="center"/>
    </xf>
    <xf numFmtId="0" fontId="28" fillId="2" borderId="7" xfId="0" applyFont="1" applyFill="1" applyBorder="1" applyAlignment="1">
      <alignment horizontal="center" vertical="center"/>
    </xf>
    <xf numFmtId="0" fontId="28" fillId="2" borderId="21" xfId="0" applyFont="1" applyFill="1" applyBorder="1" applyAlignment="1">
      <alignment horizontal="right" vertical="center"/>
    </xf>
    <xf numFmtId="0" fontId="35" fillId="2" borderId="21" xfId="0" applyFont="1" applyFill="1" applyBorder="1"/>
    <xf numFmtId="167" fontId="32" fillId="5" borderId="7" xfId="0" applyNumberFormat="1" applyFont="1" applyFill="1" applyBorder="1" applyAlignment="1">
      <alignment horizontal="center" vertical="center"/>
    </xf>
    <xf numFmtId="3" fontId="35" fillId="2" borderId="22" xfId="0" applyNumberFormat="1" applyFont="1" applyFill="1" applyBorder="1" applyAlignment="1">
      <alignment vertical="center" wrapText="1"/>
    </xf>
    <xf numFmtId="2" fontId="31" fillId="5" borderId="33" xfId="0" applyNumberFormat="1" applyFont="1" applyFill="1" applyBorder="1" applyAlignment="1">
      <alignment horizontal="center" vertical="center"/>
    </xf>
    <xf numFmtId="167" fontId="31" fillId="5" borderId="7" xfId="2" applyNumberFormat="1" applyFont="1" applyFill="1" applyBorder="1" applyAlignment="1">
      <alignment horizontal="center" vertical="center"/>
    </xf>
    <xf numFmtId="0" fontId="35" fillId="8" borderId="32" xfId="0" applyFont="1" applyFill="1" applyBorder="1" applyAlignment="1">
      <alignment horizontal="right" vertical="center"/>
    </xf>
    <xf numFmtId="0" fontId="35" fillId="2" borderId="4" xfId="0" applyFont="1" applyFill="1" applyBorder="1"/>
    <xf numFmtId="0" fontId="28" fillId="2" borderId="16" xfId="0" applyFont="1" applyFill="1" applyBorder="1"/>
    <xf numFmtId="0" fontId="35" fillId="2" borderId="20" xfId="0" applyFont="1" applyFill="1" applyBorder="1" applyAlignment="1">
      <alignment vertical="center" wrapText="1"/>
    </xf>
    <xf numFmtId="2" fontId="31" fillId="7" borderId="34" xfId="0" applyNumberFormat="1" applyFont="1" applyFill="1" applyBorder="1" applyAlignment="1">
      <alignment horizontal="center" vertical="center"/>
    </xf>
    <xf numFmtId="2" fontId="37" fillId="4" borderId="34" xfId="0" applyNumberFormat="1" applyFont="1" applyFill="1" applyBorder="1" applyAlignment="1">
      <alignment horizontal="center" vertical="center"/>
    </xf>
    <xf numFmtId="0" fontId="28" fillId="9" borderId="32" xfId="0" applyFont="1" applyFill="1" applyBorder="1" applyAlignment="1">
      <alignment vertical="center" wrapText="1"/>
    </xf>
    <xf numFmtId="0" fontId="35" fillId="2" borderId="35" xfId="0" applyFont="1" applyFill="1" applyBorder="1" applyAlignment="1">
      <alignment vertical="center"/>
    </xf>
    <xf numFmtId="2" fontId="38" fillId="7" borderId="28" xfId="0" applyNumberFormat="1" applyFont="1" applyFill="1" applyBorder="1" applyAlignment="1">
      <alignment horizontal="center" vertical="center"/>
    </xf>
    <xf numFmtId="0" fontId="28" fillId="8" borderId="32" xfId="0" applyFont="1" applyFill="1" applyBorder="1" applyAlignment="1">
      <alignment horizontal="left" vertical="center"/>
    </xf>
    <xf numFmtId="0" fontId="35" fillId="2" borderId="6" xfId="0" applyFont="1" applyFill="1" applyBorder="1" applyAlignment="1">
      <alignment vertical="center"/>
    </xf>
    <xf numFmtId="2" fontId="38" fillId="5" borderId="36" xfId="0" applyNumberFormat="1" applyFont="1" applyFill="1" applyBorder="1" applyAlignment="1">
      <alignment horizontal="center" vertical="center"/>
    </xf>
    <xf numFmtId="0" fontId="28" fillId="2" borderId="32" xfId="0" applyFont="1" applyFill="1" applyBorder="1" applyAlignment="1">
      <alignment horizontal="left" vertical="center"/>
    </xf>
    <xf numFmtId="0" fontId="28" fillId="8" borderId="37" xfId="0" applyFont="1" applyFill="1" applyBorder="1" applyAlignment="1">
      <alignment horizontal="left" vertical="center"/>
    </xf>
    <xf numFmtId="0" fontId="28" fillId="2" borderId="38" xfId="0" applyFont="1" applyFill="1" applyBorder="1" applyAlignment="1">
      <alignment vertical="center"/>
    </xf>
    <xf numFmtId="2" fontId="38" fillId="5" borderId="39" xfId="0" applyNumberFormat="1" applyFont="1" applyFill="1" applyBorder="1" applyAlignment="1">
      <alignment horizontal="center" vertical="center"/>
    </xf>
    <xf numFmtId="0" fontId="35" fillId="2" borderId="22" xfId="0" applyFont="1" applyFill="1" applyBorder="1" applyAlignment="1">
      <alignment horizontal="right" vertical="center"/>
    </xf>
    <xf numFmtId="0" fontId="35" fillId="2" borderId="40" xfId="0" applyFont="1" applyFill="1" applyBorder="1" applyAlignment="1">
      <alignment vertical="center"/>
    </xf>
    <xf numFmtId="2" fontId="37" fillId="4" borderId="41" xfId="0" applyNumberFormat="1" applyFont="1" applyFill="1" applyBorder="1" applyAlignment="1">
      <alignment horizontal="center" vertical="center"/>
    </xf>
    <xf numFmtId="2" fontId="38" fillId="7" borderId="42" xfId="0" applyNumberFormat="1" applyFont="1" applyFill="1" applyBorder="1" applyAlignment="1">
      <alignment horizontal="center" vertical="center"/>
    </xf>
    <xf numFmtId="0" fontId="35" fillId="2" borderId="11" xfId="0" applyFont="1" applyFill="1" applyBorder="1"/>
    <xf numFmtId="9" fontId="32" fillId="5" borderId="7" xfId="2" applyFont="1" applyFill="1" applyBorder="1" applyAlignment="1">
      <alignment horizontal="center" vertical="center"/>
    </xf>
    <xf numFmtId="2" fontId="31" fillId="7" borderId="41" xfId="0" applyNumberFormat="1" applyFont="1" applyFill="1" applyBorder="1" applyAlignment="1">
      <alignment horizontal="center" vertical="center"/>
    </xf>
    <xf numFmtId="0" fontId="35" fillId="3" borderId="32" xfId="0" applyFont="1" applyFill="1" applyBorder="1" applyAlignment="1">
      <alignment horizontal="right" vertical="center"/>
    </xf>
    <xf numFmtId="9" fontId="32" fillId="3" borderId="7" xfId="2" applyFont="1" applyFill="1" applyBorder="1" applyAlignment="1">
      <alignment horizontal="center" vertical="center"/>
    </xf>
    <xf numFmtId="0" fontId="35" fillId="3" borderId="7" xfId="0" applyFont="1" applyFill="1" applyBorder="1" applyAlignment="1">
      <alignment horizontal="center" vertical="center"/>
    </xf>
    <xf numFmtId="0" fontId="35" fillId="3" borderId="22" xfId="0" applyFont="1" applyFill="1" applyBorder="1"/>
    <xf numFmtId="2" fontId="31" fillId="3" borderId="33" xfId="0" applyNumberFormat="1" applyFont="1" applyFill="1" applyBorder="1" applyAlignment="1">
      <alignment horizontal="center"/>
    </xf>
    <xf numFmtId="167" fontId="32" fillId="3" borderId="7" xfId="2" applyNumberFormat="1" applyFont="1" applyFill="1" applyBorder="1" applyAlignment="1">
      <alignment horizontal="center" vertical="center"/>
    </xf>
    <xf numFmtId="0" fontId="32" fillId="0" borderId="0" xfId="0" applyFont="1" applyAlignment="1">
      <alignment vertical="top" wrapText="1"/>
    </xf>
    <xf numFmtId="0" fontId="40" fillId="0" borderId="0" xfId="0" applyFont="1"/>
    <xf numFmtId="0" fontId="44" fillId="0" borderId="0" xfId="0" applyFont="1"/>
    <xf numFmtId="0" fontId="45" fillId="2" borderId="44" xfId="0" applyFont="1" applyFill="1" applyBorder="1" applyAlignment="1" applyProtection="1">
      <alignment vertical="center"/>
      <protection locked="0"/>
    </xf>
    <xf numFmtId="0" fontId="45" fillId="2" borderId="14" xfId="0" applyFont="1" applyFill="1" applyBorder="1" applyAlignment="1" applyProtection="1">
      <alignment vertical="center"/>
      <protection locked="0"/>
    </xf>
    <xf numFmtId="0" fontId="45" fillId="2" borderId="15" xfId="0" applyFont="1" applyFill="1" applyBorder="1" applyAlignment="1" applyProtection="1">
      <alignment vertical="center"/>
      <protection locked="0"/>
    </xf>
    <xf numFmtId="0" fontId="47" fillId="2" borderId="45" xfId="0" applyFont="1" applyFill="1" applyBorder="1" applyAlignment="1">
      <alignment horizontal="center" vertical="center" wrapText="1"/>
    </xf>
    <xf numFmtId="0" fontId="47" fillId="2" borderId="46" xfId="0" applyFont="1" applyFill="1" applyBorder="1" applyAlignment="1">
      <alignment horizontal="center" vertical="center" wrapText="1"/>
    </xf>
    <xf numFmtId="0" fontId="47" fillId="2" borderId="25" xfId="0" applyFont="1" applyFill="1" applyBorder="1" applyAlignment="1">
      <alignment horizontal="center" vertical="center" wrapText="1"/>
    </xf>
    <xf numFmtId="0" fontId="48" fillId="4" borderId="48" xfId="0" applyFont="1" applyFill="1" applyBorder="1" applyAlignment="1">
      <alignment horizontal="center" vertical="center"/>
    </xf>
    <xf numFmtId="0" fontId="47" fillId="2" borderId="20" xfId="0" applyFont="1" applyFill="1" applyBorder="1" applyAlignment="1">
      <alignment horizontal="center" vertical="center" wrapText="1"/>
    </xf>
    <xf numFmtId="0" fontId="47" fillId="2" borderId="7" xfId="0" applyFont="1" applyFill="1" applyBorder="1" applyAlignment="1">
      <alignment horizontal="center" vertical="center"/>
    </xf>
    <xf numFmtId="0" fontId="47" fillId="2" borderId="7" xfId="0" applyFont="1" applyFill="1" applyBorder="1" applyAlignment="1">
      <alignment horizontal="center" vertical="center" wrapText="1"/>
    </xf>
    <xf numFmtId="0" fontId="47" fillId="2" borderId="33" xfId="0" applyFont="1" applyFill="1" applyBorder="1" applyAlignment="1">
      <alignment horizontal="center" vertical="center"/>
    </xf>
    <xf numFmtId="0" fontId="50" fillId="4" borderId="48" xfId="0" applyFont="1" applyFill="1" applyBorder="1" applyAlignment="1">
      <alignment horizontal="center" vertical="center" wrapText="1"/>
    </xf>
    <xf numFmtId="173" fontId="48" fillId="4" borderId="20" xfId="0" applyNumberFormat="1" applyFont="1" applyFill="1" applyBorder="1" applyAlignment="1">
      <alignment horizontal="center" vertical="center"/>
    </xf>
    <xf numFmtId="0" fontId="48" fillId="4" borderId="7" xfId="0" applyFont="1" applyFill="1" applyBorder="1" applyAlignment="1">
      <alignment horizontal="center" vertical="center"/>
    </xf>
    <xf numFmtId="2" fontId="48" fillId="4" borderId="7" xfId="0" applyNumberFormat="1" applyFont="1" applyFill="1" applyBorder="1" applyAlignment="1">
      <alignment horizontal="center" vertical="center"/>
    </xf>
    <xf numFmtId="172" fontId="48" fillId="5" borderId="7" xfId="0" applyNumberFormat="1" applyFont="1" applyFill="1" applyBorder="1" applyAlignment="1">
      <alignment horizontal="center" vertical="center"/>
    </xf>
    <xf numFmtId="3" fontId="48" fillId="5" borderId="7" xfId="0" applyNumberFormat="1" applyFont="1" applyFill="1" applyBorder="1" applyAlignment="1">
      <alignment horizontal="center" vertical="center"/>
    </xf>
    <xf numFmtId="3" fontId="51" fillId="4" borderId="7" xfId="0" applyNumberFormat="1" applyFont="1" applyFill="1" applyBorder="1" applyAlignment="1" applyProtection="1">
      <alignment horizontal="center" vertical="center"/>
      <protection locked="0"/>
    </xf>
    <xf numFmtId="172" fontId="48" fillId="5" borderId="33" xfId="0" applyNumberFormat="1" applyFont="1" applyFill="1" applyBorder="1" applyAlignment="1">
      <alignment horizontal="center" vertical="center"/>
    </xf>
    <xf numFmtId="0" fontId="50" fillId="5" borderId="48" xfId="0" applyFont="1" applyFill="1" applyBorder="1" applyAlignment="1">
      <alignment horizontal="center" vertical="center" wrapText="1"/>
    </xf>
    <xf numFmtId="173" fontId="48" fillId="5" borderId="20" xfId="0" applyNumberFormat="1" applyFont="1" applyFill="1" applyBorder="1" applyAlignment="1">
      <alignment horizontal="center" vertical="center"/>
    </xf>
    <xf numFmtId="0" fontId="47" fillId="2" borderId="49" xfId="0" applyFont="1" applyFill="1" applyBorder="1" applyAlignment="1">
      <alignment horizontal="center" vertical="center"/>
    </xf>
    <xf numFmtId="0" fontId="47" fillId="2" borderId="45" xfId="0" applyFont="1" applyFill="1" applyBorder="1" applyAlignment="1">
      <alignment horizontal="center" vertical="center"/>
    </xf>
    <xf numFmtId="0" fontId="48" fillId="5" borderId="48" xfId="0" applyFont="1" applyFill="1" applyBorder="1" applyAlignment="1">
      <alignment horizontal="center" vertical="center"/>
    </xf>
    <xf numFmtId="0" fontId="52" fillId="0" borderId="0" xfId="0" applyFont="1" applyAlignment="1">
      <alignment horizontal="center" vertical="center" wrapText="1"/>
    </xf>
    <xf numFmtId="0" fontId="48" fillId="0" borderId="0" xfId="0" applyFont="1" applyAlignment="1">
      <alignment horizontal="center" vertical="center"/>
    </xf>
    <xf numFmtId="0" fontId="54" fillId="0" borderId="0" xfId="0" applyFont="1" applyAlignment="1">
      <alignment horizontal="center" vertical="center"/>
    </xf>
    <xf numFmtId="0" fontId="54" fillId="0" borderId="35" xfId="0" applyFont="1" applyBorder="1" applyAlignment="1">
      <alignment horizontal="center" vertical="center"/>
    </xf>
    <xf numFmtId="0" fontId="54" fillId="0" borderId="50" xfId="0" applyFont="1" applyBorder="1" applyAlignment="1">
      <alignment horizontal="center" vertical="center"/>
    </xf>
    <xf numFmtId="0" fontId="0" fillId="0" borderId="50" xfId="0" applyBorder="1"/>
    <xf numFmtId="2" fontId="0" fillId="0" borderId="50" xfId="0" applyNumberFormat="1" applyBorder="1"/>
    <xf numFmtId="172" fontId="55" fillId="5" borderId="28" xfId="0" applyNumberFormat="1" applyFont="1" applyFill="1" applyBorder="1" applyAlignment="1">
      <alignment horizontal="center" vertical="center"/>
    </xf>
    <xf numFmtId="2" fontId="0" fillId="0" borderId="0" xfId="0" applyNumberFormat="1"/>
    <xf numFmtId="0" fontId="54" fillId="0" borderId="38" xfId="0" applyFont="1" applyBorder="1" applyAlignment="1">
      <alignment horizontal="center" vertical="center"/>
    </xf>
    <xf numFmtId="0" fontId="48" fillId="0" borderId="0" xfId="0" applyFont="1"/>
    <xf numFmtId="0" fontId="52" fillId="0" borderId="20" xfId="0" applyFont="1" applyBorder="1" applyAlignment="1">
      <alignment horizontal="center" vertical="center" wrapText="1"/>
    </xf>
    <xf numFmtId="0" fontId="48" fillId="0" borderId="7" xfId="0" applyFont="1" applyBorder="1" applyAlignment="1">
      <alignment horizontal="center" vertical="center"/>
    </xf>
    <xf numFmtId="0" fontId="54" fillId="5" borderId="7" xfId="0" applyFont="1" applyFill="1" applyBorder="1" applyAlignment="1">
      <alignment horizontal="center" vertical="center" wrapText="1"/>
    </xf>
    <xf numFmtId="0" fontId="54" fillId="5" borderId="33" xfId="0" applyFont="1" applyFill="1" applyBorder="1" applyAlignment="1">
      <alignment horizontal="center" vertical="center" wrapText="1"/>
    </xf>
    <xf numFmtId="0" fontId="48" fillId="0" borderId="51" xfId="0" applyFont="1" applyBorder="1" applyAlignment="1">
      <alignment horizontal="center" vertical="center"/>
    </xf>
    <xf numFmtId="0" fontId="48" fillId="0" borderId="21" xfId="0" applyFont="1" applyBorder="1" applyAlignment="1">
      <alignment horizontal="center" vertical="center"/>
    </xf>
    <xf numFmtId="0" fontId="48" fillId="0" borderId="26" xfId="0" applyFont="1" applyBorder="1" applyAlignment="1">
      <alignment horizontal="center" vertical="center"/>
    </xf>
    <xf numFmtId="0" fontId="48" fillId="4" borderId="20" xfId="0" applyFont="1" applyFill="1" applyBorder="1" applyAlignment="1">
      <alignment horizontal="center" vertical="center"/>
    </xf>
    <xf numFmtId="174" fontId="48" fillId="4" borderId="7" xfId="0" applyNumberFormat="1" applyFont="1" applyFill="1" applyBorder="1" applyAlignment="1">
      <alignment horizontal="center" vertical="center"/>
    </xf>
    <xf numFmtId="174" fontId="48" fillId="4" borderId="33" xfId="0" applyNumberFormat="1" applyFont="1" applyFill="1" applyBorder="1" applyAlignment="1">
      <alignment horizontal="center" vertical="center"/>
    </xf>
    <xf numFmtId="0" fontId="54" fillId="0" borderId="0" xfId="0" applyFont="1" applyAlignment="1">
      <alignment horizontal="right" wrapText="1"/>
    </xf>
    <xf numFmtId="2" fontId="48" fillId="5" borderId="50" xfId="0" applyNumberFormat="1" applyFont="1" applyFill="1" applyBorder="1" applyAlignment="1">
      <alignment horizontal="center" vertical="center"/>
    </xf>
    <xf numFmtId="2" fontId="50" fillId="5" borderId="50" xfId="0" applyNumberFormat="1" applyFont="1" applyFill="1" applyBorder="1" applyAlignment="1">
      <alignment horizontal="center" vertical="center"/>
    </xf>
    <xf numFmtId="2" fontId="50" fillId="5" borderId="28" xfId="0" applyNumberFormat="1" applyFont="1" applyFill="1" applyBorder="1" applyAlignment="1">
      <alignment horizontal="center" vertical="center"/>
    </xf>
    <xf numFmtId="2" fontId="48" fillId="5" borderId="22" xfId="0" applyNumberFormat="1" applyFont="1" applyFill="1" applyBorder="1" applyAlignment="1">
      <alignment horizontal="center" vertical="center"/>
    </xf>
    <xf numFmtId="172" fontId="0" fillId="0" borderId="0" xfId="0" applyNumberFormat="1"/>
    <xf numFmtId="0" fontId="47" fillId="2" borderId="19" xfId="0" applyFont="1" applyFill="1" applyBorder="1" applyAlignment="1">
      <alignment horizontal="center" vertical="center" wrapText="1"/>
    </xf>
    <xf numFmtId="3" fontId="48" fillId="4" borderId="7" xfId="0" applyNumberFormat="1" applyFont="1" applyFill="1" applyBorder="1" applyAlignment="1">
      <alignment horizontal="center" vertical="center"/>
    </xf>
    <xf numFmtId="0" fontId="48" fillId="0" borderId="50" xfId="0" applyFont="1" applyBorder="1" applyAlignment="1">
      <alignment horizontal="center" vertical="center"/>
    </xf>
    <xf numFmtId="0" fontId="47" fillId="2" borderId="16" xfId="0" applyFont="1" applyFill="1" applyBorder="1" applyAlignment="1">
      <alignment horizontal="center" vertical="center" wrapText="1"/>
    </xf>
    <xf numFmtId="0" fontId="47" fillId="2" borderId="20" xfId="0" applyFont="1" applyFill="1" applyBorder="1" applyAlignment="1">
      <alignment horizontal="center" vertical="center"/>
    </xf>
    <xf numFmtId="0" fontId="47" fillId="2" borderId="33" xfId="0" applyFont="1" applyFill="1" applyBorder="1" applyAlignment="1">
      <alignment horizontal="center" vertical="center" wrapText="1"/>
    </xf>
    <xf numFmtId="0" fontId="48" fillId="5" borderId="20" xfId="0" applyFont="1" applyFill="1" applyBorder="1" applyAlignment="1">
      <alignment horizontal="center" vertical="center"/>
    </xf>
    <xf numFmtId="1" fontId="48" fillId="5" borderId="7" xfId="1" applyNumberFormat="1" applyFont="1" applyFill="1" applyBorder="1" applyAlignment="1">
      <alignment horizontal="center" vertical="center"/>
    </xf>
    <xf numFmtId="2" fontId="48" fillId="5" borderId="7" xfId="0" applyNumberFormat="1" applyFont="1" applyFill="1" applyBorder="1" applyAlignment="1">
      <alignment horizontal="center" vertical="center"/>
    </xf>
    <xf numFmtId="10" fontId="48" fillId="4" borderId="7" xfId="0" applyNumberFormat="1" applyFont="1" applyFill="1" applyBorder="1" applyAlignment="1">
      <alignment horizontal="center" vertical="center"/>
    </xf>
    <xf numFmtId="0" fontId="48" fillId="5" borderId="35" xfId="0" applyFont="1" applyFill="1" applyBorder="1" applyAlignment="1">
      <alignment horizontal="center" vertical="center"/>
    </xf>
    <xf numFmtId="1" fontId="48" fillId="5" borderId="50" xfId="1" applyNumberFormat="1" applyFont="1" applyFill="1" applyBorder="1" applyAlignment="1">
      <alignment horizontal="center" vertical="center"/>
    </xf>
    <xf numFmtId="0" fontId="48" fillId="4" borderId="50" xfId="0" applyFont="1" applyFill="1" applyBorder="1" applyAlignment="1">
      <alignment horizontal="center" vertical="center"/>
    </xf>
    <xf numFmtId="10" fontId="48" fillId="4" borderId="50" xfId="0" applyNumberFormat="1" applyFont="1" applyFill="1" applyBorder="1" applyAlignment="1">
      <alignment horizontal="center" vertical="center"/>
    </xf>
    <xf numFmtId="0" fontId="48" fillId="4" borderId="33" xfId="0" applyFont="1" applyFill="1" applyBorder="1" applyAlignment="1">
      <alignment horizontal="center" vertical="center"/>
    </xf>
    <xf numFmtId="0" fontId="47" fillId="2" borderId="35" xfId="0" applyFont="1" applyFill="1" applyBorder="1" applyAlignment="1">
      <alignment horizontal="center" vertical="center" wrapText="1"/>
    </xf>
    <xf numFmtId="0" fontId="60" fillId="0" borderId="0" xfId="0" applyFont="1"/>
    <xf numFmtId="0" fontId="43" fillId="0" borderId="0" xfId="0" applyFont="1"/>
    <xf numFmtId="0" fontId="61" fillId="0" borderId="0" xfId="0" applyFont="1"/>
    <xf numFmtId="0" fontId="47" fillId="2" borderId="52" xfId="0" applyFont="1" applyFill="1" applyBorder="1" applyAlignment="1" applyProtection="1">
      <alignment horizontal="center" vertical="center" wrapText="1"/>
      <protection locked="0"/>
    </xf>
    <xf numFmtId="0" fontId="54" fillId="4" borderId="53" xfId="0" applyFont="1" applyFill="1" applyBorder="1" applyAlignment="1" applyProtection="1">
      <alignment horizontal="center" vertical="center" wrapText="1"/>
      <protection locked="0"/>
    </xf>
    <xf numFmtId="0" fontId="48" fillId="0" borderId="0" xfId="0" applyFont="1" applyAlignment="1">
      <alignment horizontal="center"/>
    </xf>
    <xf numFmtId="0" fontId="48" fillId="0" borderId="31" xfId="0" applyFont="1" applyBorder="1" applyAlignment="1">
      <alignment horizontal="center"/>
    </xf>
    <xf numFmtId="0" fontId="52" fillId="0" borderId="20" xfId="0" applyFont="1" applyBorder="1" applyAlignment="1">
      <alignment horizontal="center"/>
    </xf>
    <xf numFmtId="0" fontId="47" fillId="2" borderId="11" xfId="0" applyFont="1" applyFill="1" applyBorder="1" applyAlignment="1">
      <alignment horizontal="center" vertical="center" wrapText="1"/>
    </xf>
    <xf numFmtId="1" fontId="48" fillId="5" borderId="7" xfId="0" applyNumberFormat="1" applyFont="1" applyFill="1" applyBorder="1" applyAlignment="1">
      <alignment horizontal="center"/>
    </xf>
    <xf numFmtId="170" fontId="48" fillId="5" borderId="33" xfId="0" applyNumberFormat="1" applyFont="1" applyFill="1" applyBorder="1" applyAlignment="1">
      <alignment horizontal="center"/>
    </xf>
    <xf numFmtId="0" fontId="47" fillId="2" borderId="35" xfId="0" applyFont="1" applyFill="1" applyBorder="1" applyAlignment="1">
      <alignment horizontal="center" vertical="center"/>
    </xf>
    <xf numFmtId="170" fontId="54" fillId="5" borderId="50" xfId="0" applyNumberFormat="1" applyFont="1" applyFill="1" applyBorder="1" applyAlignment="1">
      <alignment horizontal="center" vertical="center" wrapText="1"/>
    </xf>
    <xf numFmtId="170" fontId="54" fillId="5" borderId="28" xfId="0" applyNumberFormat="1" applyFont="1" applyFill="1" applyBorder="1" applyAlignment="1">
      <alignment horizontal="center" vertical="center" wrapText="1"/>
    </xf>
    <xf numFmtId="0" fontId="52" fillId="0" borderId="40" xfId="0" applyFont="1" applyBorder="1"/>
    <xf numFmtId="0" fontId="47" fillId="2" borderId="54" xfId="0" applyFont="1" applyFill="1" applyBorder="1" applyAlignment="1">
      <alignment horizontal="center"/>
    </xf>
    <xf numFmtId="0" fontId="47" fillId="2" borderId="41" xfId="0" applyFont="1" applyFill="1" applyBorder="1" applyAlignment="1">
      <alignment horizontal="center"/>
    </xf>
    <xf numFmtId="0" fontId="59" fillId="2" borderId="20" xfId="0" applyFont="1" applyFill="1" applyBorder="1" applyAlignment="1">
      <alignment horizontal="left" vertical="center" wrapText="1"/>
    </xf>
    <xf numFmtId="2" fontId="66" fillId="5" borderId="7" xfId="4" applyNumberFormat="1" applyFont="1" applyFill="1" applyBorder="1" applyAlignment="1">
      <alignment horizontal="right" vertical="center"/>
    </xf>
    <xf numFmtId="0" fontId="50" fillId="3" borderId="33" xfId="0" applyFont="1" applyFill="1" applyBorder="1" applyAlignment="1">
      <alignment horizontal="center" vertical="center"/>
    </xf>
    <xf numFmtId="2" fontId="66" fillId="5" borderId="7" xfId="4" applyNumberFormat="1" applyFont="1" applyFill="1" applyBorder="1" applyAlignment="1">
      <alignment horizontal="right" vertical="center" wrapText="1"/>
    </xf>
    <xf numFmtId="0" fontId="59" fillId="2" borderId="33" xfId="0" applyFont="1" applyFill="1" applyBorder="1" applyAlignment="1">
      <alignment horizontal="center" vertical="center"/>
    </xf>
    <xf numFmtId="0" fontId="64" fillId="0" borderId="0" xfId="0" applyFont="1"/>
    <xf numFmtId="0" fontId="48" fillId="0" borderId="37" xfId="0" applyFont="1" applyBorder="1" applyAlignment="1">
      <alignment horizontal="left" vertical="center" wrapText="1"/>
    </xf>
    <xf numFmtId="166" fontId="66" fillId="0" borderId="0" xfId="4" applyNumberFormat="1" applyFont="1" applyFill="1" applyBorder="1" applyAlignment="1">
      <alignment horizontal="right" vertical="center"/>
    </xf>
    <xf numFmtId="0" fontId="48" fillId="0" borderId="36" xfId="0" applyFont="1" applyBorder="1" applyAlignment="1">
      <alignment horizontal="center" vertical="center"/>
    </xf>
    <xf numFmtId="43" fontId="66" fillId="0" borderId="0" xfId="4" applyNumberFormat="1" applyFont="1" applyFill="1" applyBorder="1" applyAlignment="1">
      <alignment horizontal="right" vertical="center"/>
    </xf>
    <xf numFmtId="175" fontId="66" fillId="0" borderId="0" xfId="4" applyNumberFormat="1" applyFont="1" applyFill="1" applyBorder="1" applyAlignment="1">
      <alignment horizontal="right" vertical="center"/>
    </xf>
    <xf numFmtId="170" fontId="48" fillId="3" borderId="33" xfId="6" applyNumberFormat="1" applyFont="1" applyFill="1" applyBorder="1" applyAlignment="1">
      <alignment horizontal="center" vertical="center"/>
    </xf>
    <xf numFmtId="0" fontId="48" fillId="3" borderId="37" xfId="0" applyFont="1" applyFill="1" applyBorder="1" applyAlignment="1">
      <alignment horizontal="left" vertical="center" wrapText="1"/>
    </xf>
    <xf numFmtId="9" fontId="48" fillId="3" borderId="0" xfId="2" applyFont="1" applyFill="1" applyBorder="1" applyAlignment="1">
      <alignment horizontal="right" vertical="center"/>
    </xf>
    <xf numFmtId="170" fontId="48" fillId="3" borderId="36" xfId="6" applyNumberFormat="1" applyFont="1" applyFill="1" applyBorder="1" applyAlignment="1">
      <alignment horizontal="center" vertical="center"/>
    </xf>
    <xf numFmtId="9" fontId="48" fillId="5" borderId="7" xfId="1" applyNumberFormat="1" applyFont="1" applyFill="1" applyBorder="1" applyAlignment="1">
      <alignment horizontal="right" vertical="center"/>
    </xf>
    <xf numFmtId="2" fontId="50" fillId="5" borderId="7" xfId="1" applyNumberFormat="1" applyFont="1" applyFill="1" applyBorder="1" applyAlignment="1">
      <alignment horizontal="right" vertical="center"/>
    </xf>
    <xf numFmtId="0" fontId="48" fillId="3" borderId="52" xfId="0" applyFont="1" applyFill="1" applyBorder="1" applyAlignment="1">
      <alignment horizontal="left" vertical="center" wrapText="1"/>
    </xf>
    <xf numFmtId="9" fontId="48" fillId="3" borderId="10" xfId="1" applyNumberFormat="1" applyFont="1" applyFill="1" applyBorder="1" applyAlignment="1">
      <alignment horizontal="right" vertical="center"/>
    </xf>
    <xf numFmtId="170" fontId="48" fillId="3" borderId="58" xfId="6" applyNumberFormat="1" applyFont="1" applyFill="1" applyBorder="1" applyAlignment="1">
      <alignment horizontal="center" vertical="center"/>
    </xf>
    <xf numFmtId="0" fontId="50" fillId="5" borderId="7" xfId="1" applyNumberFormat="1" applyFont="1" applyFill="1" applyBorder="1" applyAlignment="1">
      <alignment horizontal="right" vertical="center"/>
    </xf>
    <xf numFmtId="0" fontId="50" fillId="3" borderId="33" xfId="0" applyFont="1" applyFill="1" applyBorder="1" applyAlignment="1">
      <alignment horizontal="center" vertical="center" wrapText="1"/>
    </xf>
    <xf numFmtId="4" fontId="50" fillId="5" borderId="7" xfId="1" applyNumberFormat="1" applyFont="1" applyFill="1" applyBorder="1" applyAlignment="1">
      <alignment horizontal="right" vertical="center"/>
    </xf>
    <xf numFmtId="0" fontId="59" fillId="2" borderId="33" xfId="0" applyFont="1" applyFill="1" applyBorder="1" applyAlignment="1">
      <alignment horizontal="center" vertical="center" wrapText="1"/>
    </xf>
    <xf numFmtId="0" fontId="48" fillId="2" borderId="20" xfId="0" applyFont="1" applyFill="1" applyBorder="1" applyAlignment="1">
      <alignment horizontal="left" vertical="center" wrapText="1"/>
    </xf>
    <xf numFmtId="0" fontId="4" fillId="0" borderId="0" xfId="0" applyFont="1" applyAlignment="1" applyProtection="1">
      <alignment horizontal="center"/>
      <protection locked="0"/>
    </xf>
    <xf numFmtId="0" fontId="0" fillId="0" borderId="0" xfId="0" applyAlignment="1" applyProtection="1">
      <alignment horizontal="center"/>
      <protection locked="0"/>
    </xf>
    <xf numFmtId="0" fontId="69" fillId="0" borderId="0" xfId="0" applyFont="1" applyAlignment="1" applyProtection="1">
      <alignment horizontal="center"/>
      <protection locked="0"/>
    </xf>
    <xf numFmtId="0" fontId="71" fillId="0" borderId="0" xfId="0" applyFont="1" applyAlignment="1" applyProtection="1">
      <alignment vertical="center" wrapText="1"/>
      <protection locked="0"/>
    </xf>
    <xf numFmtId="0" fontId="71" fillId="0" borderId="0" xfId="0" applyFont="1" applyAlignment="1">
      <alignment vertical="center" wrapText="1"/>
    </xf>
    <xf numFmtId="0" fontId="71" fillId="0" borderId="0" xfId="0" applyFont="1" applyAlignment="1">
      <alignment vertical="center"/>
    </xf>
    <xf numFmtId="0" fontId="72" fillId="0" borderId="0" xfId="0" applyFont="1" applyAlignment="1" applyProtection="1">
      <alignment vertical="center"/>
      <protection locked="0"/>
    </xf>
    <xf numFmtId="37" fontId="71" fillId="0" borderId="0" xfId="0" applyNumberFormat="1" applyFont="1" applyAlignment="1" applyProtection="1">
      <alignment vertical="center"/>
      <protection locked="0"/>
    </xf>
    <xf numFmtId="0" fontId="73" fillId="0" borderId="0" xfId="0" applyFont="1" applyAlignment="1" applyProtection="1">
      <alignment horizontal="center"/>
      <protection locked="0"/>
    </xf>
    <xf numFmtId="0" fontId="0" fillId="0" borderId="0" xfId="0" applyAlignment="1" applyProtection="1">
      <alignment horizontal="left"/>
      <protection locked="0"/>
    </xf>
    <xf numFmtId="37" fontId="71" fillId="0" borderId="0" xfId="0" applyNumberFormat="1" applyFont="1" applyAlignment="1" applyProtection="1">
      <alignment horizontal="left" vertical="center"/>
      <protection locked="0"/>
    </xf>
    <xf numFmtId="0" fontId="74" fillId="0" borderId="0" xfId="0" applyFont="1" applyAlignment="1" applyProtection="1">
      <alignment horizontal="left" vertical="center"/>
      <protection locked="0"/>
    </xf>
    <xf numFmtId="0" fontId="75" fillId="0" borderId="0" xfId="0" applyFont="1" applyAlignment="1" applyProtection="1">
      <alignment horizontal="center"/>
      <protection locked="0"/>
    </xf>
    <xf numFmtId="0" fontId="45" fillId="2" borderId="59" xfId="0" applyFont="1" applyFill="1" applyBorder="1" applyAlignment="1" applyProtection="1">
      <alignment horizontal="left" vertical="center"/>
      <protection locked="0"/>
    </xf>
    <xf numFmtId="0" fontId="45" fillId="0" borderId="0" xfId="0" applyFont="1" applyAlignment="1" applyProtection="1">
      <alignment horizontal="center" vertical="center" wrapText="1"/>
      <protection locked="0"/>
    </xf>
    <xf numFmtId="0" fontId="76" fillId="0" borderId="0" xfId="0" applyFont="1" applyAlignment="1" applyProtection="1">
      <alignment horizontal="center" vertical="center" wrapText="1"/>
      <protection locked="0"/>
    </xf>
    <xf numFmtId="0" fontId="2" fillId="2" borderId="24" xfId="0" applyFont="1" applyFill="1" applyBorder="1" applyAlignment="1" applyProtection="1">
      <alignment horizontal="center" vertical="center"/>
      <protection locked="0"/>
    </xf>
    <xf numFmtId="2" fontId="71" fillId="7" borderId="47" xfId="0" applyNumberFormat="1" applyFont="1" applyFill="1" applyBorder="1" applyAlignment="1" applyProtection="1">
      <alignment horizontal="center" vertical="center"/>
      <protection locked="0"/>
    </xf>
    <xf numFmtId="0" fontId="0" fillId="0" borderId="0" xfId="0" applyAlignment="1" applyProtection="1">
      <alignment horizontal="left" vertical="center"/>
      <protection locked="0"/>
    </xf>
    <xf numFmtId="0" fontId="2" fillId="2" borderId="20" xfId="0" applyFont="1" applyFill="1" applyBorder="1" applyAlignment="1" applyProtection="1">
      <alignment horizontal="center" vertical="center"/>
      <protection locked="0"/>
    </xf>
    <xf numFmtId="2" fontId="71" fillId="7" borderId="7" xfId="0" applyNumberFormat="1" applyFont="1" applyFill="1" applyBorder="1" applyAlignment="1" applyProtection="1">
      <alignment horizontal="center" vertical="center"/>
      <protection locked="0"/>
    </xf>
    <xf numFmtId="0" fontId="2" fillId="2" borderId="35" xfId="0" applyFont="1" applyFill="1" applyBorder="1" applyAlignment="1" applyProtection="1">
      <alignment horizontal="center" vertical="center"/>
      <protection locked="0"/>
    </xf>
    <xf numFmtId="2" fontId="71" fillId="7" borderId="50" xfId="0" applyNumberFormat="1" applyFont="1" applyFill="1" applyBorder="1" applyAlignment="1" applyProtection="1">
      <alignment horizontal="center" vertical="center"/>
      <protection locked="0"/>
    </xf>
    <xf numFmtId="0" fontId="77" fillId="0" borderId="0" xfId="0" applyFont="1" applyAlignment="1" applyProtection="1">
      <alignment horizontal="left" vertical="center" wrapText="1"/>
      <protection locked="0"/>
    </xf>
    <xf numFmtId="0" fontId="45" fillId="0" borderId="0" xfId="0" applyFont="1" applyAlignment="1" applyProtection="1">
      <alignment horizontal="left" vertical="center"/>
      <protection locked="0"/>
    </xf>
    <xf numFmtId="0" fontId="45" fillId="0" borderId="0" xfId="0" applyFont="1" applyAlignment="1" applyProtection="1">
      <alignment horizontal="center" vertical="center"/>
      <protection locked="0"/>
    </xf>
    <xf numFmtId="0" fontId="45" fillId="0" borderId="0" xfId="0" applyFont="1" applyAlignment="1" applyProtection="1">
      <alignment vertical="center"/>
      <protection locked="0"/>
    </xf>
    <xf numFmtId="0" fontId="78" fillId="0" borderId="0" xfId="0" applyFont="1" applyAlignment="1" applyProtection="1">
      <alignment vertical="center"/>
      <protection locked="0"/>
    </xf>
    <xf numFmtId="0" fontId="47" fillId="2" borderId="24" xfId="0" applyFont="1" applyFill="1" applyBorder="1" applyAlignment="1" applyProtection="1">
      <alignment horizontal="left" vertical="center" wrapText="1"/>
      <protection locked="0"/>
    </xf>
    <xf numFmtId="0" fontId="47" fillId="2" borderId="11" xfId="0" applyFont="1" applyFill="1" applyBorder="1" applyAlignment="1" applyProtection="1">
      <alignment horizontal="left" vertical="center" wrapText="1"/>
      <protection locked="0"/>
    </xf>
    <xf numFmtId="0" fontId="50" fillId="0" borderId="0" xfId="0" applyFont="1" applyAlignment="1" applyProtection="1">
      <alignment horizontal="left" vertical="center" wrapText="1"/>
      <protection locked="0"/>
    </xf>
    <xf numFmtId="0" fontId="0" fillId="0" borderId="0" xfId="0" applyAlignment="1" applyProtection="1">
      <alignment horizontal="center" vertical="center"/>
      <protection locked="0"/>
    </xf>
    <xf numFmtId="0" fontId="44" fillId="0" borderId="0" xfId="0" applyFont="1" applyAlignment="1" applyProtection="1">
      <alignment horizontal="left" vertical="center"/>
      <protection locked="0"/>
    </xf>
    <xf numFmtId="0" fontId="47" fillId="2" borderId="52" xfId="0" applyFont="1" applyFill="1" applyBorder="1" applyAlignment="1" applyProtection="1">
      <alignment horizontal="left" vertical="center" wrapText="1"/>
      <protection locked="0"/>
    </xf>
    <xf numFmtId="0" fontId="47" fillId="2" borderId="22" xfId="0" applyFont="1" applyFill="1" applyBorder="1" applyAlignment="1" applyProtection="1">
      <alignment horizontal="left" vertical="center" wrapText="1"/>
      <protection locked="0"/>
    </xf>
    <xf numFmtId="0" fontId="50" fillId="0" borderId="0" xfId="0" applyFont="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54" fillId="0" borderId="0" xfId="0" applyFont="1" applyAlignment="1" applyProtection="1">
      <alignment horizontal="center" vertical="center" wrapText="1"/>
      <protection locked="0"/>
    </xf>
    <xf numFmtId="0" fontId="47" fillId="2" borderId="4" xfId="0" applyFont="1" applyFill="1" applyBorder="1" applyAlignment="1" applyProtection="1">
      <alignment horizontal="left" vertical="center" wrapText="1"/>
      <protection locked="0"/>
    </xf>
    <xf numFmtId="0" fontId="54" fillId="0" borderId="0" xfId="0" applyFont="1" applyAlignment="1" applyProtection="1">
      <alignment vertical="center" wrapText="1"/>
      <protection locked="0"/>
    </xf>
    <xf numFmtId="0" fontId="47" fillId="2" borderId="40" xfId="0" applyFont="1" applyFill="1" applyBorder="1" applyAlignment="1" applyProtection="1">
      <alignment vertical="center" wrapText="1"/>
      <protection locked="0"/>
    </xf>
    <xf numFmtId="0" fontId="47" fillId="2" borderId="20" xfId="0" applyFont="1" applyFill="1" applyBorder="1" applyAlignment="1" applyProtection="1">
      <alignment vertical="center" wrapText="1"/>
      <protection locked="0"/>
    </xf>
    <xf numFmtId="0" fontId="47" fillId="2" borderId="27" xfId="0" applyFont="1" applyFill="1" applyBorder="1" applyAlignment="1" applyProtection="1">
      <alignment horizontal="left" vertical="center" wrapText="1"/>
      <protection locked="0"/>
    </xf>
    <xf numFmtId="0" fontId="47" fillId="2" borderId="64" xfId="0" applyFont="1" applyFill="1" applyBorder="1" applyAlignment="1" applyProtection="1">
      <alignment horizontal="left" vertical="center" wrapText="1"/>
      <protection locked="0"/>
    </xf>
    <xf numFmtId="0" fontId="54" fillId="0" borderId="0" xfId="0" applyFont="1" applyAlignment="1" applyProtection="1">
      <alignment horizontal="left" vertical="center" wrapText="1"/>
      <protection locked="0"/>
    </xf>
    <xf numFmtId="0" fontId="80" fillId="0" borderId="0" xfId="0" applyFont="1" applyAlignment="1" applyProtection="1">
      <alignment horizontal="center" vertical="center"/>
      <protection locked="0"/>
    </xf>
    <xf numFmtId="2" fontId="0" fillId="0" borderId="0" xfId="0" applyNumberFormat="1" applyAlignment="1" applyProtection="1">
      <alignment horizontal="center" vertical="center"/>
      <protection locked="0"/>
    </xf>
    <xf numFmtId="0" fontId="81" fillId="0" borderId="0" xfId="0" applyFont="1" applyAlignment="1" applyProtection="1">
      <alignment horizontal="center" vertical="center"/>
      <protection locked="0"/>
    </xf>
    <xf numFmtId="0" fontId="47" fillId="2" borderId="48" xfId="0" applyFont="1" applyFill="1" applyBorder="1" applyAlignment="1" applyProtection="1">
      <alignment horizontal="center" vertical="center" wrapText="1"/>
      <protection locked="0"/>
    </xf>
    <xf numFmtId="0" fontId="47" fillId="2" borderId="12" xfId="0" applyFont="1" applyFill="1" applyBorder="1" applyAlignment="1" applyProtection="1">
      <alignment horizontal="center" vertical="center" wrapText="1"/>
      <protection locked="0"/>
    </xf>
    <xf numFmtId="0" fontId="52" fillId="4" borderId="43" xfId="0" applyFont="1" applyFill="1" applyBorder="1" applyAlignment="1" applyProtection="1">
      <alignment horizontal="center" vertical="center" wrapText="1"/>
      <protection locked="0"/>
    </xf>
    <xf numFmtId="0" fontId="55" fillId="5" borderId="48" xfId="0" applyFont="1" applyFill="1" applyBorder="1" applyAlignment="1" applyProtection="1">
      <alignment vertical="center" wrapText="1"/>
      <protection locked="0"/>
    </xf>
    <xf numFmtId="0" fontId="47" fillId="2" borderId="53" xfId="0" applyFont="1" applyFill="1" applyBorder="1" applyAlignment="1" applyProtection="1">
      <alignment vertical="center" wrapText="1"/>
      <protection locked="0"/>
    </xf>
    <xf numFmtId="0" fontId="52" fillId="5" borderId="43" xfId="0" applyFont="1" applyFill="1" applyBorder="1" applyAlignment="1" applyProtection="1">
      <alignment horizontal="center" vertical="center" wrapText="1"/>
      <protection locked="0"/>
    </xf>
    <xf numFmtId="0" fontId="50" fillId="0" borderId="13" xfId="0" applyFont="1" applyBorder="1" applyAlignment="1" applyProtection="1">
      <alignment horizontal="center" vertical="center" wrapText="1"/>
      <protection locked="0"/>
    </xf>
    <xf numFmtId="0" fontId="52" fillId="0" borderId="0" xfId="0" applyFont="1" applyAlignment="1" applyProtection="1">
      <alignment vertical="center" wrapText="1"/>
      <protection locked="0"/>
    </xf>
    <xf numFmtId="0" fontId="55" fillId="0" borderId="0" xfId="0" applyFont="1" applyAlignment="1" applyProtection="1">
      <alignment horizontal="center" vertical="center" wrapText="1"/>
      <protection locked="0"/>
    </xf>
    <xf numFmtId="0" fontId="54" fillId="3" borderId="14" xfId="0" applyFont="1" applyFill="1" applyBorder="1" applyAlignment="1" applyProtection="1">
      <alignment vertical="center" wrapText="1"/>
      <protection locked="0"/>
    </xf>
    <xf numFmtId="0" fontId="4" fillId="0" borderId="15" xfId="0" applyFont="1" applyBorder="1" applyAlignment="1" applyProtection="1">
      <alignment horizontal="center" vertical="center" wrapText="1"/>
      <protection locked="0"/>
    </xf>
    <xf numFmtId="0" fontId="79" fillId="2" borderId="16" xfId="0" applyFont="1" applyFill="1" applyBorder="1" applyAlignment="1" applyProtection="1">
      <alignment horizontal="left" vertical="center" wrapText="1"/>
      <protection locked="0"/>
    </xf>
    <xf numFmtId="0" fontId="11" fillId="4" borderId="19" xfId="0" applyFont="1" applyFill="1" applyBorder="1" applyAlignment="1" applyProtection="1">
      <alignment horizontal="center" vertical="center"/>
      <protection locked="0"/>
    </xf>
    <xf numFmtId="0" fontId="47" fillId="2" borderId="66" xfId="0" applyFont="1" applyFill="1" applyBorder="1" applyAlignment="1" applyProtection="1">
      <alignment horizontal="center" vertical="center" wrapText="1"/>
      <protection locked="0"/>
    </xf>
    <xf numFmtId="0" fontId="55" fillId="5" borderId="31" xfId="0" applyFont="1" applyFill="1" applyBorder="1" applyAlignment="1" applyProtection="1">
      <alignment horizontal="center" vertical="center" wrapText="1"/>
      <protection locked="0"/>
    </xf>
    <xf numFmtId="0" fontId="52" fillId="0" borderId="0" xfId="0" applyFont="1" applyAlignment="1" applyProtection="1">
      <alignment horizontal="center" vertical="center"/>
      <protection locked="0"/>
    </xf>
    <xf numFmtId="0" fontId="79" fillId="2" borderId="20" xfId="0" applyFont="1" applyFill="1" applyBorder="1" applyAlignment="1" applyProtection="1">
      <alignment horizontal="left" vertical="center" wrapText="1"/>
      <protection locked="0"/>
    </xf>
    <xf numFmtId="0" fontId="47" fillId="2" borderId="67" xfId="0" applyFont="1" applyFill="1" applyBorder="1" applyAlignment="1" applyProtection="1">
      <alignment horizontal="center" vertical="center" wrapText="1"/>
      <protection locked="0"/>
    </xf>
    <xf numFmtId="0" fontId="47" fillId="2" borderId="24" xfId="0" applyFont="1" applyFill="1" applyBorder="1" applyAlignment="1" applyProtection="1">
      <alignment horizontal="center" vertical="center" wrapText="1"/>
      <protection locked="0"/>
    </xf>
    <xf numFmtId="0" fontId="47" fillId="2" borderId="36" xfId="0" applyFont="1" applyFill="1" applyBorder="1" applyAlignment="1" applyProtection="1">
      <alignment horizontal="center" vertical="center" wrapText="1"/>
      <protection locked="0"/>
    </xf>
    <xf numFmtId="0" fontId="47" fillId="2" borderId="25" xfId="0" applyFont="1" applyFill="1" applyBorder="1" applyAlignment="1" applyProtection="1">
      <alignment horizontal="center" vertical="center" wrapText="1"/>
      <protection locked="0"/>
    </xf>
    <xf numFmtId="0" fontId="47" fillId="2" borderId="20" xfId="0" applyFont="1" applyFill="1" applyBorder="1" applyAlignment="1" applyProtection="1">
      <alignment horizontal="center" vertical="center" wrapText="1"/>
      <protection locked="0"/>
    </xf>
    <xf numFmtId="0" fontId="47" fillId="2" borderId="7" xfId="0" applyFont="1" applyFill="1" applyBorder="1" applyAlignment="1" applyProtection="1">
      <alignment horizontal="center" vertical="center" wrapText="1"/>
      <protection locked="0"/>
    </xf>
    <xf numFmtId="0" fontId="47" fillId="2" borderId="33" xfId="0" applyFont="1" applyFill="1" applyBorder="1" applyAlignment="1" applyProtection="1">
      <alignment horizontal="center" vertical="center" wrapText="1"/>
      <protection locked="0"/>
    </xf>
    <xf numFmtId="0" fontId="47" fillId="2" borderId="9" xfId="0" applyFont="1" applyFill="1" applyBorder="1" applyAlignment="1" applyProtection="1">
      <alignment horizontal="center" vertical="center" wrapText="1"/>
      <protection locked="0"/>
    </xf>
    <xf numFmtId="0" fontId="47" fillId="2" borderId="11" xfId="0" applyFont="1" applyFill="1" applyBorder="1" applyAlignment="1" applyProtection="1">
      <alignment horizontal="center" vertical="center" wrapText="1"/>
      <protection locked="0"/>
    </xf>
    <xf numFmtId="0" fontId="47" fillId="2" borderId="10" xfId="0" applyFont="1" applyFill="1" applyBorder="1" applyAlignment="1" applyProtection="1">
      <alignment horizontal="center" vertical="center" wrapText="1"/>
      <protection locked="0"/>
    </xf>
    <xf numFmtId="0" fontId="47" fillId="2" borderId="58" xfId="0" applyFont="1" applyFill="1" applyBorder="1" applyAlignment="1" applyProtection="1">
      <alignment horizontal="center" vertical="center" wrapText="1"/>
      <protection locked="0"/>
    </xf>
    <xf numFmtId="0" fontId="52" fillId="0" borderId="0" xfId="0" applyFont="1" applyAlignment="1" applyProtection="1">
      <alignment horizontal="center" vertical="center" wrapText="1"/>
      <protection locked="0"/>
    </xf>
    <xf numFmtId="0" fontId="83" fillId="0" borderId="0" xfId="0" applyFont="1" applyAlignment="1" applyProtection="1">
      <alignment horizontal="center"/>
      <protection locked="0"/>
    </xf>
    <xf numFmtId="0" fontId="47" fillId="2" borderId="22" xfId="0" applyFont="1" applyFill="1" applyBorder="1" applyAlignment="1" applyProtection="1">
      <alignment horizontal="center" vertical="center" wrapText="1"/>
      <protection locked="0"/>
    </xf>
    <xf numFmtId="0" fontId="47" fillId="2" borderId="51" xfId="0" applyFont="1" applyFill="1" applyBorder="1" applyAlignment="1" applyProtection="1">
      <alignment horizontal="center" vertical="center" wrapText="1"/>
      <protection locked="0"/>
    </xf>
    <xf numFmtId="0" fontId="47" fillId="2" borderId="68" xfId="0" applyFont="1" applyFill="1" applyBorder="1" applyAlignment="1" applyProtection="1">
      <alignment horizontal="center" vertical="center" wrapText="1"/>
      <protection locked="0"/>
    </xf>
    <xf numFmtId="0" fontId="54" fillId="5" borderId="68" xfId="0" applyFont="1" applyFill="1" applyBorder="1" applyAlignment="1" applyProtection="1">
      <alignment horizontal="center" vertical="center"/>
      <protection locked="0"/>
    </xf>
    <xf numFmtId="0" fontId="48" fillId="0" borderId="0" xfId="0" applyFont="1" applyAlignment="1" applyProtection="1">
      <alignment horizontal="center" vertical="center"/>
      <protection locked="0"/>
    </xf>
    <xf numFmtId="3" fontId="77" fillId="4" borderId="20" xfId="0" applyNumberFormat="1" applyFont="1" applyFill="1" applyBorder="1" applyAlignment="1" applyProtection="1">
      <alignment horizontal="center"/>
      <protection locked="0"/>
    </xf>
    <xf numFmtId="10" fontId="77" fillId="4" borderId="25" xfId="2" applyNumberFormat="1" applyFont="1" applyFill="1" applyBorder="1" applyAlignment="1" applyProtection="1">
      <alignment horizontal="center"/>
      <protection locked="0"/>
    </xf>
    <xf numFmtId="10" fontId="77" fillId="4" borderId="10" xfId="2" applyNumberFormat="1" applyFont="1" applyFill="1" applyBorder="1" applyAlignment="1" applyProtection="1">
      <alignment horizontal="center"/>
      <protection locked="0"/>
    </xf>
    <xf numFmtId="164" fontId="77" fillId="4" borderId="24" xfId="0" applyNumberFormat="1" applyFont="1" applyFill="1" applyBorder="1" applyAlignment="1" applyProtection="1">
      <alignment horizontal="center"/>
      <protection locked="0"/>
    </xf>
    <xf numFmtId="3" fontId="77" fillId="4" borderId="47" xfId="0" applyNumberFormat="1" applyFont="1" applyFill="1" applyBorder="1" applyAlignment="1" applyProtection="1">
      <alignment horizontal="center"/>
      <protection locked="0"/>
    </xf>
    <xf numFmtId="3" fontId="77" fillId="4" borderId="25" xfId="0" applyNumberFormat="1" applyFont="1" applyFill="1" applyBorder="1" applyAlignment="1" applyProtection="1">
      <alignment horizontal="center"/>
      <protection locked="0"/>
    </xf>
    <xf numFmtId="3" fontId="77" fillId="4" borderId="24" xfId="0" applyNumberFormat="1" applyFont="1" applyFill="1" applyBorder="1" applyAlignment="1" applyProtection="1">
      <alignment horizontal="center"/>
      <protection locked="0"/>
    </xf>
    <xf numFmtId="3" fontId="77" fillId="4" borderId="47" xfId="1" applyNumberFormat="1" applyFont="1" applyFill="1" applyBorder="1" applyAlignment="1" applyProtection="1">
      <alignment horizontal="center"/>
      <protection locked="0"/>
    </xf>
    <xf numFmtId="3" fontId="77" fillId="4" borderId="47" xfId="1" applyNumberFormat="1" applyFont="1" applyFill="1" applyBorder="1" applyAlignment="1" applyProtection="1">
      <alignment horizontal="center" vertical="center"/>
      <protection locked="0"/>
    </xf>
    <xf numFmtId="164" fontId="77" fillId="4" borderId="11" xfId="1" applyNumberFormat="1" applyFont="1" applyFill="1" applyBorder="1" applyAlignment="1" applyProtection="1">
      <alignment horizontal="center"/>
      <protection locked="0"/>
    </xf>
    <xf numFmtId="3" fontId="77" fillId="4" borderId="11" xfId="1" applyNumberFormat="1" applyFont="1" applyFill="1" applyBorder="1" applyAlignment="1" applyProtection="1">
      <alignment horizontal="center"/>
      <protection locked="0"/>
    </xf>
    <xf numFmtId="164" fontId="77" fillId="4" borderId="47" xfId="1" applyNumberFormat="1" applyFont="1" applyFill="1" applyBorder="1" applyAlignment="1" applyProtection="1">
      <alignment horizontal="center"/>
      <protection locked="0"/>
    </xf>
    <xf numFmtId="3" fontId="77" fillId="4" borderId="25" xfId="1" applyNumberFormat="1" applyFont="1" applyFill="1" applyBorder="1" applyAlignment="1" applyProtection="1">
      <alignment horizontal="center"/>
      <protection locked="0"/>
    </xf>
    <xf numFmtId="3" fontId="77" fillId="4" borderId="52" xfId="0" applyNumberFormat="1" applyFont="1" applyFill="1" applyBorder="1" applyAlignment="1" applyProtection="1">
      <alignment horizontal="center"/>
      <protection locked="0"/>
    </xf>
    <xf numFmtId="0" fontId="77" fillId="4" borderId="25" xfId="2" applyNumberFormat="1" applyFont="1" applyFill="1" applyBorder="1" applyAlignment="1" applyProtection="1">
      <alignment horizontal="center"/>
      <protection locked="0"/>
    </xf>
    <xf numFmtId="0" fontId="59" fillId="2" borderId="36" xfId="0" applyFont="1" applyFill="1" applyBorder="1" applyAlignment="1" applyProtection="1">
      <alignment horizontal="center" vertical="center"/>
      <protection locked="0"/>
    </xf>
    <xf numFmtId="0" fontId="5" fillId="2" borderId="36" xfId="0" applyFont="1" applyFill="1" applyBorder="1" applyAlignment="1" applyProtection="1">
      <alignment horizontal="center"/>
      <protection locked="0"/>
    </xf>
    <xf numFmtId="0" fontId="54" fillId="2" borderId="45" xfId="0" applyFont="1" applyFill="1" applyBorder="1" applyAlignment="1">
      <alignment horizontal="center" vertical="center" wrapText="1"/>
    </xf>
    <xf numFmtId="0" fontId="0" fillId="2" borderId="45" xfId="0" applyFill="1" applyBorder="1" applyAlignment="1">
      <alignment horizontal="center" vertical="center"/>
    </xf>
    <xf numFmtId="0" fontId="77" fillId="2" borderId="58" xfId="0" applyFont="1" applyFill="1" applyBorder="1" applyAlignment="1" applyProtection="1">
      <alignment horizontal="center"/>
      <protection locked="0"/>
    </xf>
    <xf numFmtId="0" fontId="0" fillId="2" borderId="45" xfId="0" applyFill="1" applyBorder="1"/>
    <xf numFmtId="0" fontId="77" fillId="2" borderId="36" xfId="0" applyFont="1" applyFill="1" applyBorder="1" applyAlignment="1" applyProtection="1">
      <alignment horizontal="center"/>
      <protection locked="0"/>
    </xf>
    <xf numFmtId="10" fontId="71" fillId="4" borderId="36" xfId="0" applyNumberFormat="1" applyFont="1" applyFill="1" applyBorder="1" applyAlignment="1" applyProtection="1">
      <alignment horizontal="center" vertical="center"/>
      <protection locked="0"/>
    </xf>
    <xf numFmtId="3" fontId="77" fillId="4" borderId="37" xfId="0" applyNumberFormat="1" applyFont="1" applyFill="1" applyBorder="1" applyAlignment="1" applyProtection="1">
      <alignment horizontal="center"/>
      <protection locked="0"/>
    </xf>
    <xf numFmtId="3" fontId="77" fillId="4" borderId="8" xfId="0" applyNumberFormat="1" applyFont="1" applyFill="1" applyBorder="1" applyAlignment="1" applyProtection="1">
      <alignment horizontal="center"/>
      <protection locked="0"/>
    </xf>
    <xf numFmtId="0" fontId="77" fillId="4" borderId="23" xfId="2" applyNumberFormat="1" applyFont="1" applyFill="1" applyBorder="1" applyAlignment="1" applyProtection="1">
      <alignment horizontal="center"/>
      <protection locked="0"/>
    </xf>
    <xf numFmtId="9" fontId="77" fillId="2" borderId="69" xfId="2" applyFont="1" applyFill="1" applyBorder="1" applyAlignment="1" applyProtection="1">
      <alignment horizontal="center"/>
      <protection locked="0"/>
    </xf>
    <xf numFmtId="0" fontId="0" fillId="2" borderId="70" xfId="0" applyFill="1" applyBorder="1"/>
    <xf numFmtId="0" fontId="5" fillId="2" borderId="71" xfId="0" applyFont="1" applyFill="1" applyBorder="1" applyAlignment="1" applyProtection="1">
      <alignment horizontal="center"/>
      <protection locked="0"/>
    </xf>
    <xf numFmtId="3" fontId="77" fillId="5" borderId="72" xfId="0" applyNumberFormat="1" applyFont="1" applyFill="1" applyBorder="1" applyAlignment="1" applyProtection="1">
      <alignment horizontal="center"/>
      <protection locked="0"/>
    </xf>
    <xf numFmtId="9" fontId="77" fillId="5" borderId="73" xfId="2" applyFont="1" applyFill="1" applyBorder="1" applyAlignment="1" applyProtection="1">
      <alignment horizontal="center"/>
      <protection locked="0"/>
    </xf>
    <xf numFmtId="9" fontId="77" fillId="5" borderId="74" xfId="0" applyNumberFormat="1" applyFont="1" applyFill="1" applyBorder="1" applyAlignment="1" applyProtection="1">
      <alignment horizontal="center"/>
      <protection locked="0"/>
    </xf>
    <xf numFmtId="3" fontId="77" fillId="5" borderId="75" xfId="0" applyNumberFormat="1" applyFont="1" applyFill="1" applyBorder="1" applyAlignment="1" applyProtection="1">
      <alignment horizontal="center"/>
      <protection locked="0"/>
    </xf>
    <xf numFmtId="3" fontId="77" fillId="5" borderId="73" xfId="0" applyNumberFormat="1" applyFont="1" applyFill="1" applyBorder="1" applyAlignment="1" applyProtection="1">
      <alignment horizontal="center"/>
      <protection locked="0"/>
    </xf>
    <xf numFmtId="3" fontId="77" fillId="5" borderId="76" xfId="0" applyNumberFormat="1" applyFont="1" applyFill="1" applyBorder="1" applyAlignment="1" applyProtection="1">
      <alignment horizontal="center"/>
      <protection locked="0"/>
    </xf>
    <xf numFmtId="3" fontId="77" fillId="5" borderId="77" xfId="0" applyNumberFormat="1" applyFont="1" applyFill="1" applyBorder="1" applyAlignment="1" applyProtection="1">
      <alignment horizontal="center"/>
      <protection locked="0"/>
    </xf>
    <xf numFmtId="3" fontId="77" fillId="5" borderId="74" xfId="0" applyNumberFormat="1" applyFont="1" applyFill="1" applyBorder="1" applyAlignment="1" applyProtection="1">
      <alignment horizontal="center"/>
      <protection locked="0"/>
    </xf>
    <xf numFmtId="9" fontId="77" fillId="5" borderId="76" xfId="2" applyFont="1" applyFill="1" applyBorder="1" applyAlignment="1" applyProtection="1">
      <alignment horizontal="center"/>
      <protection locked="0"/>
    </xf>
    <xf numFmtId="3" fontId="77" fillId="5" borderId="72" xfId="0" applyNumberFormat="1" applyFont="1" applyFill="1" applyBorder="1" applyAlignment="1" applyProtection="1">
      <alignment horizontal="center" vertical="center"/>
      <protection locked="0"/>
    </xf>
    <xf numFmtId="0" fontId="77" fillId="5" borderId="73" xfId="2" applyNumberFormat="1" applyFont="1" applyFill="1" applyBorder="1" applyAlignment="1" applyProtection="1">
      <alignment horizontal="center"/>
      <protection locked="0"/>
    </xf>
    <xf numFmtId="0" fontId="5" fillId="2" borderId="45" xfId="0" applyFont="1" applyFill="1" applyBorder="1" applyAlignment="1">
      <alignment horizontal="center" vertical="center" wrapText="1"/>
    </xf>
    <xf numFmtId="3" fontId="5" fillId="3" borderId="46" xfId="0" applyNumberFormat="1" applyFont="1" applyFill="1" applyBorder="1" applyAlignment="1">
      <alignment horizontal="center" vertical="center" wrapText="1"/>
    </xf>
    <xf numFmtId="3" fontId="77" fillId="5" borderId="23" xfId="0" applyNumberFormat="1" applyFont="1" applyFill="1" applyBorder="1" applyAlignment="1">
      <alignment horizontal="center" vertical="center" wrapText="1"/>
    </xf>
    <xf numFmtId="3" fontId="77" fillId="3" borderId="46" xfId="0" applyNumberFormat="1" applyFont="1" applyFill="1" applyBorder="1" applyAlignment="1">
      <alignment horizontal="center" vertical="center" wrapText="1"/>
    </xf>
    <xf numFmtId="3" fontId="77" fillId="5" borderId="0" xfId="0" applyNumberFormat="1" applyFont="1" applyFill="1" applyAlignment="1">
      <alignment horizontal="center" vertical="center" wrapText="1"/>
    </xf>
    <xf numFmtId="3" fontId="77" fillId="3" borderId="46" xfId="1" applyNumberFormat="1" applyFont="1" applyFill="1" applyBorder="1" applyAlignment="1" applyProtection="1">
      <alignment horizontal="center" vertical="center"/>
    </xf>
    <xf numFmtId="3" fontId="77" fillId="5" borderId="25" xfId="2" applyNumberFormat="1" applyFont="1" applyFill="1" applyBorder="1" applyAlignment="1" applyProtection="1">
      <alignment horizontal="center" vertical="center"/>
    </xf>
    <xf numFmtId="3" fontId="77" fillId="3" borderId="52" xfId="2" applyNumberFormat="1" applyFont="1" applyFill="1" applyBorder="1" applyAlignment="1" applyProtection="1">
      <alignment horizontal="center" vertical="center"/>
    </xf>
    <xf numFmtId="3" fontId="77" fillId="3" borderId="9" xfId="2" applyNumberFormat="1" applyFont="1" applyFill="1" applyBorder="1" applyAlignment="1" applyProtection="1">
      <alignment horizontal="center" vertical="center"/>
    </xf>
    <xf numFmtId="3" fontId="77" fillId="3" borderId="25" xfId="2" applyNumberFormat="1" applyFont="1" applyFill="1" applyBorder="1" applyAlignment="1" applyProtection="1">
      <alignment horizontal="center" vertical="center"/>
    </xf>
    <xf numFmtId="3" fontId="77" fillId="3" borderId="24" xfId="1" applyNumberFormat="1" applyFont="1" applyFill="1" applyBorder="1" applyAlignment="1" applyProtection="1">
      <alignment horizontal="center" vertical="center"/>
    </xf>
    <xf numFmtId="3" fontId="77" fillId="3" borderId="8" xfId="1" applyNumberFormat="1" applyFont="1" applyFill="1" applyBorder="1" applyAlignment="1" applyProtection="1">
      <alignment horizontal="center" vertical="center"/>
    </xf>
    <xf numFmtId="3" fontId="77" fillId="3" borderId="5" xfId="1" applyNumberFormat="1" applyFont="1" applyFill="1" applyBorder="1" applyAlignment="1" applyProtection="1">
      <alignment horizontal="center" vertical="center"/>
    </xf>
    <xf numFmtId="3" fontId="77" fillId="3" borderId="47" xfId="2" applyNumberFormat="1" applyFont="1" applyFill="1" applyBorder="1" applyAlignment="1" applyProtection="1">
      <alignment horizontal="center" vertical="center"/>
    </xf>
    <xf numFmtId="3" fontId="77" fillId="3" borderId="11" xfId="2" applyNumberFormat="1" applyFont="1" applyFill="1" applyBorder="1" applyAlignment="1" applyProtection="1">
      <alignment horizontal="center" vertical="center"/>
    </xf>
    <xf numFmtId="3" fontId="77" fillId="5" borderId="8" xfId="0" applyNumberFormat="1" applyFont="1" applyFill="1" applyBorder="1" applyAlignment="1">
      <alignment horizontal="center" vertical="center" wrapText="1"/>
    </xf>
    <xf numFmtId="3" fontId="77" fillId="3" borderId="26" xfId="1" applyNumberFormat="1" applyFont="1" applyFill="1" applyBorder="1" applyAlignment="1" applyProtection="1">
      <alignment horizontal="center" vertical="center"/>
    </xf>
    <xf numFmtId="3" fontId="77" fillId="3" borderId="47" xfId="0" applyNumberFormat="1" applyFont="1" applyFill="1" applyBorder="1" applyAlignment="1">
      <alignment horizontal="center" vertical="center" wrapText="1"/>
    </xf>
    <xf numFmtId="0" fontId="5" fillId="2" borderId="68" xfId="0" applyFont="1" applyFill="1" applyBorder="1" applyAlignment="1">
      <alignment horizontal="center" vertical="center" wrapText="1"/>
    </xf>
    <xf numFmtId="0" fontId="77" fillId="0" borderId="20" xfId="0" applyFont="1" applyBorder="1" applyAlignment="1">
      <alignment horizontal="center" vertical="center" wrapText="1"/>
    </xf>
    <xf numFmtId="3" fontId="77" fillId="5" borderId="33" xfId="0" applyNumberFormat="1" applyFont="1" applyFill="1" applyBorder="1" applyAlignment="1">
      <alignment horizontal="center" vertical="center" wrapText="1"/>
    </xf>
    <xf numFmtId="3" fontId="77" fillId="3" borderId="20" xfId="0" applyNumberFormat="1" applyFont="1" applyFill="1" applyBorder="1" applyAlignment="1">
      <alignment horizontal="center" vertical="center" wrapText="1"/>
    </xf>
    <xf numFmtId="3" fontId="77" fillId="5" borderId="21" xfId="0" applyNumberFormat="1" applyFont="1" applyFill="1" applyBorder="1" applyAlignment="1">
      <alignment horizontal="center" vertical="center" wrapText="1"/>
    </xf>
    <xf numFmtId="3" fontId="77" fillId="0" borderId="20" xfId="0" applyNumberFormat="1" applyFont="1" applyBorder="1" applyAlignment="1">
      <alignment horizontal="center" vertical="center"/>
    </xf>
    <xf numFmtId="3" fontId="77" fillId="5" borderId="33" xfId="0" applyNumberFormat="1" applyFont="1" applyFill="1" applyBorder="1" applyAlignment="1">
      <alignment horizontal="center" vertical="center"/>
    </xf>
    <xf numFmtId="3" fontId="77" fillId="0" borderId="52" xfId="0" applyNumberFormat="1" applyFont="1" applyBorder="1" applyAlignment="1">
      <alignment horizontal="center" vertical="center"/>
    </xf>
    <xf numFmtId="3" fontId="77" fillId="5" borderId="9" xfId="0" applyNumberFormat="1" applyFont="1" applyFill="1" applyBorder="1" applyAlignment="1">
      <alignment horizontal="center" vertical="center"/>
    </xf>
    <xf numFmtId="3" fontId="77" fillId="0" borderId="25" xfId="0" applyNumberFormat="1" applyFont="1" applyBorder="1" applyAlignment="1">
      <alignment horizontal="center" vertical="center"/>
    </xf>
    <xf numFmtId="3" fontId="77" fillId="5" borderId="24" xfId="1" applyNumberFormat="1" applyFont="1" applyFill="1" applyBorder="1" applyAlignment="1" applyProtection="1">
      <alignment horizontal="center" vertical="center"/>
    </xf>
    <xf numFmtId="3" fontId="77" fillId="5" borderId="7" xfId="0" applyNumberFormat="1" applyFont="1" applyFill="1" applyBorder="1" applyAlignment="1">
      <alignment horizontal="center" vertical="center"/>
    </xf>
    <xf numFmtId="3" fontId="77" fillId="0" borderId="51" xfId="0" applyNumberFormat="1" applyFont="1" applyBorder="1" applyAlignment="1">
      <alignment horizontal="center" vertical="center"/>
    </xf>
    <xf numFmtId="3" fontId="77" fillId="0" borderId="7" xfId="0" applyNumberFormat="1" applyFont="1" applyBorder="1" applyAlignment="1">
      <alignment horizontal="center" vertical="center"/>
    </xf>
    <xf numFmtId="3" fontId="77" fillId="3" borderId="22" xfId="0" applyNumberFormat="1" applyFont="1" applyFill="1" applyBorder="1" applyAlignment="1">
      <alignment horizontal="center" vertical="center"/>
    </xf>
    <xf numFmtId="3" fontId="77" fillId="0" borderId="22" xfId="0" applyNumberFormat="1" applyFont="1" applyBorder="1" applyAlignment="1">
      <alignment horizontal="center" vertical="center"/>
    </xf>
    <xf numFmtId="3" fontId="0" fillId="5" borderId="7" xfId="0" applyNumberFormat="1" applyFill="1" applyBorder="1" applyAlignment="1">
      <alignment horizontal="center" vertical="center"/>
    </xf>
    <xf numFmtId="3" fontId="0" fillId="5" borderId="26" xfId="1" applyNumberFormat="1" applyFont="1" applyFill="1" applyBorder="1" applyAlignment="1" applyProtection="1">
      <alignment horizontal="center" vertical="center"/>
    </xf>
    <xf numFmtId="3" fontId="0" fillId="5" borderId="20" xfId="1" applyNumberFormat="1" applyFont="1" applyFill="1" applyBorder="1" applyAlignment="1" applyProtection="1">
      <alignment horizontal="center" vertical="center"/>
    </xf>
    <xf numFmtId="3" fontId="77" fillId="0" borderId="7" xfId="1" applyNumberFormat="1" applyFont="1" applyFill="1" applyBorder="1" applyAlignment="1" applyProtection="1">
      <alignment horizontal="center" vertical="center"/>
    </xf>
    <xf numFmtId="3" fontId="77" fillId="0" borderId="26" xfId="1" applyNumberFormat="1" applyFont="1" applyFill="1" applyBorder="1" applyAlignment="1" applyProtection="1">
      <alignment horizontal="center" vertical="center"/>
    </xf>
    <xf numFmtId="0" fontId="77" fillId="0" borderId="32" xfId="0" applyFont="1" applyBorder="1" applyAlignment="1">
      <alignment horizontal="center" vertical="center" wrapText="1"/>
    </xf>
    <xf numFmtId="3" fontId="77" fillId="3" borderId="20" xfId="0" applyNumberFormat="1" applyFont="1" applyFill="1" applyBorder="1" applyAlignment="1">
      <alignment horizontal="center" vertical="center"/>
    </xf>
    <xf numFmtId="3" fontId="77" fillId="5" borderId="21" xfId="0" applyNumberFormat="1" applyFont="1" applyFill="1" applyBorder="1" applyAlignment="1">
      <alignment horizontal="center" vertical="center"/>
    </xf>
    <xf numFmtId="3" fontId="77" fillId="0" borderId="32" xfId="0" applyNumberFormat="1" applyFont="1" applyBorder="1" applyAlignment="1">
      <alignment horizontal="center" vertical="center"/>
    </xf>
    <xf numFmtId="3" fontId="77" fillId="5" borderId="51" xfId="0" applyNumberFormat="1" applyFont="1" applyFill="1" applyBorder="1" applyAlignment="1">
      <alignment horizontal="center" vertical="center"/>
    </xf>
    <xf numFmtId="3" fontId="77" fillId="0" borderId="33" xfId="0" applyNumberFormat="1" applyFont="1" applyBorder="1" applyAlignment="1">
      <alignment horizontal="center" vertical="center"/>
    </xf>
    <xf numFmtId="3" fontId="77" fillId="5" borderId="20" xfId="0" applyNumberFormat="1" applyFont="1" applyFill="1" applyBorder="1" applyAlignment="1">
      <alignment horizontal="center" vertical="center"/>
    </xf>
    <xf numFmtId="3" fontId="0" fillId="5" borderId="26" xfId="0" applyNumberFormat="1" applyFill="1" applyBorder="1" applyAlignment="1">
      <alignment horizontal="center" vertical="center"/>
    </xf>
    <xf numFmtId="3" fontId="0" fillId="5" borderId="20" xfId="0" applyNumberFormat="1" applyFill="1" applyBorder="1" applyAlignment="1">
      <alignment horizontal="center" vertical="center"/>
    </xf>
    <xf numFmtId="3" fontId="77" fillId="0" borderId="26" xfId="0" applyNumberFormat="1" applyFont="1" applyBorder="1" applyAlignment="1">
      <alignment horizontal="center" vertical="center"/>
    </xf>
    <xf numFmtId="0" fontId="2" fillId="2" borderId="78" xfId="0" applyFont="1" applyFill="1" applyBorder="1" applyAlignment="1">
      <alignment horizontal="center" vertical="center" wrapText="1"/>
    </xf>
    <xf numFmtId="0" fontId="71" fillId="2" borderId="20" xfId="0" applyFont="1" applyFill="1" applyBorder="1" applyAlignment="1">
      <alignment vertical="center" wrapText="1"/>
    </xf>
    <xf numFmtId="0" fontId="71" fillId="2" borderId="26" xfId="0" applyFont="1" applyFill="1" applyBorder="1" applyAlignment="1">
      <alignment vertical="center" wrapText="1"/>
    </xf>
    <xf numFmtId="0" fontId="71" fillId="2" borderId="21" xfId="0" applyFont="1" applyFill="1" applyBorder="1" applyAlignment="1">
      <alignment vertical="center" wrapText="1"/>
    </xf>
    <xf numFmtId="3" fontId="5" fillId="2" borderId="20" xfId="0" applyNumberFormat="1" applyFont="1" applyFill="1" applyBorder="1" applyAlignment="1">
      <alignment horizontal="center" vertical="center"/>
    </xf>
    <xf numFmtId="3" fontId="5" fillId="2" borderId="7" xfId="0" applyNumberFormat="1" applyFont="1" applyFill="1" applyBorder="1" applyAlignment="1">
      <alignment horizontal="center" vertical="center"/>
    </xf>
    <xf numFmtId="3" fontId="5" fillId="2" borderId="33" xfId="0" applyNumberFormat="1" applyFont="1" applyFill="1" applyBorder="1" applyAlignment="1">
      <alignment horizontal="center" vertical="center"/>
    </xf>
    <xf numFmtId="37" fontId="5" fillId="2" borderId="20" xfId="0" applyNumberFormat="1" applyFont="1" applyFill="1" applyBorder="1" applyAlignment="1">
      <alignment horizontal="center" vertical="center"/>
    </xf>
    <xf numFmtId="37" fontId="5" fillId="2" borderId="7" xfId="0" applyNumberFormat="1" applyFont="1" applyFill="1" applyBorder="1" applyAlignment="1">
      <alignment horizontal="center" vertical="center"/>
    </xf>
    <xf numFmtId="3" fontId="5" fillId="2" borderId="4" xfId="0" applyNumberFormat="1" applyFont="1" applyFill="1" applyBorder="1" applyAlignment="1">
      <alignment horizontal="center" vertical="center"/>
    </xf>
    <xf numFmtId="3" fontId="5" fillId="2" borderId="32" xfId="0" applyNumberFormat="1" applyFont="1" applyFill="1" applyBorder="1" applyAlignment="1">
      <alignment horizontal="center" vertical="center"/>
    </xf>
    <xf numFmtId="3" fontId="5" fillId="2" borderId="26" xfId="0" applyNumberFormat="1" applyFont="1" applyFill="1" applyBorder="1" applyAlignment="1">
      <alignment horizontal="center" vertical="center"/>
    </xf>
    <xf numFmtId="0" fontId="71" fillId="3" borderId="20" xfId="0" applyFont="1" applyFill="1" applyBorder="1" applyAlignment="1">
      <alignment vertical="center" wrapText="1"/>
    </xf>
    <xf numFmtId="0" fontId="71" fillId="3" borderId="26" xfId="0" applyFont="1" applyFill="1" applyBorder="1" applyAlignment="1">
      <alignment vertical="center" wrapText="1"/>
    </xf>
    <xf numFmtId="0" fontId="71" fillId="3" borderId="21" xfId="0" applyFont="1" applyFill="1" applyBorder="1" applyAlignment="1">
      <alignment vertical="center" wrapText="1"/>
    </xf>
    <xf numFmtId="0" fontId="71" fillId="3" borderId="32" xfId="0" applyFont="1" applyFill="1" applyBorder="1" applyAlignment="1">
      <alignment vertical="center" wrapText="1"/>
    </xf>
    <xf numFmtId="3" fontId="0" fillId="6" borderId="20" xfId="0" applyNumberFormat="1" applyFill="1" applyBorder="1" applyAlignment="1">
      <alignment horizontal="center" vertical="center"/>
    </xf>
    <xf numFmtId="3" fontId="0" fillId="6" borderId="7" xfId="0" applyNumberFormat="1" applyFill="1" applyBorder="1" applyAlignment="1">
      <alignment horizontal="center" vertical="center"/>
    </xf>
    <xf numFmtId="3" fontId="0" fillId="6" borderId="33" xfId="0" applyNumberFormat="1" applyFill="1" applyBorder="1" applyAlignment="1">
      <alignment horizontal="center" vertical="center"/>
    </xf>
    <xf numFmtId="3" fontId="0" fillId="6" borderId="4" xfId="0" applyNumberFormat="1" applyFill="1" applyBorder="1" applyAlignment="1">
      <alignment horizontal="center" vertical="center"/>
    </xf>
    <xf numFmtId="3" fontId="0" fillId="6" borderId="51" xfId="0" applyNumberFormat="1" applyFill="1" applyBorder="1" applyAlignment="1">
      <alignment horizontal="center" vertical="center"/>
    </xf>
    <xf numFmtId="4" fontId="5" fillId="3" borderId="4" xfId="0" applyNumberFormat="1" applyFont="1" applyFill="1" applyBorder="1" applyAlignment="1">
      <alignment horizontal="center" vertical="center"/>
    </xf>
    <xf numFmtId="3" fontId="5" fillId="3" borderId="26" xfId="0" applyNumberFormat="1" applyFont="1" applyFill="1" applyBorder="1" applyAlignment="1">
      <alignment horizontal="center" vertical="center"/>
    </xf>
    <xf numFmtId="3" fontId="5" fillId="3" borderId="4" xfId="0" applyNumberFormat="1" applyFont="1" applyFill="1" applyBorder="1" applyAlignment="1">
      <alignment horizontal="center" vertical="center"/>
    </xf>
    <xf numFmtId="3" fontId="5" fillId="3" borderId="7" xfId="0" applyNumberFormat="1" applyFont="1" applyFill="1" applyBorder="1" applyAlignment="1">
      <alignment horizontal="center" vertical="center"/>
    </xf>
    <xf numFmtId="0" fontId="71" fillId="5" borderId="79" xfId="0" applyFont="1" applyFill="1" applyBorder="1" applyAlignment="1">
      <alignment horizontal="center" vertical="center" wrapText="1"/>
    </xf>
    <xf numFmtId="0" fontId="71" fillId="5" borderId="80" xfId="0" applyFont="1" applyFill="1" applyBorder="1" applyAlignment="1">
      <alignment vertical="center" wrapText="1"/>
    </xf>
    <xf numFmtId="0" fontId="71" fillId="5" borderId="42" xfId="0" applyFont="1" applyFill="1" applyBorder="1" applyAlignment="1">
      <alignment vertical="center" wrapText="1"/>
    </xf>
    <xf numFmtId="0" fontId="71" fillId="5" borderId="62" xfId="0" applyFont="1" applyFill="1" applyBorder="1" applyAlignment="1">
      <alignment vertical="center" wrapText="1"/>
    </xf>
    <xf numFmtId="10" fontId="77" fillId="5" borderId="62" xfId="0" applyNumberFormat="1" applyFont="1" applyFill="1" applyBorder="1" applyAlignment="1">
      <alignment horizontal="center" vertical="center"/>
    </xf>
    <xf numFmtId="10" fontId="77" fillId="5" borderId="42" xfId="0" applyNumberFormat="1" applyFont="1" applyFill="1" applyBorder="1" applyAlignment="1">
      <alignment horizontal="center" vertical="center"/>
    </xf>
    <xf numFmtId="37" fontId="71" fillId="5" borderId="35" xfId="1" applyNumberFormat="1" applyFont="1" applyFill="1" applyBorder="1" applyAlignment="1" applyProtection="1">
      <alignment horizontal="center" vertical="center"/>
    </xf>
    <xf numFmtId="37" fontId="71" fillId="5" borderId="64" xfId="1" applyNumberFormat="1" applyFont="1" applyFill="1" applyBorder="1" applyAlignment="1" applyProtection="1">
      <alignment horizontal="center" vertical="center"/>
    </xf>
    <xf numFmtId="37" fontId="71" fillId="5" borderId="50" xfId="1" applyNumberFormat="1" applyFont="1" applyFill="1" applyBorder="1" applyAlignment="1" applyProtection="1">
      <alignment horizontal="center" vertical="center"/>
    </xf>
    <xf numFmtId="2" fontId="3" fillId="5" borderId="42" xfId="2" applyNumberFormat="1" applyFont="1" applyFill="1" applyBorder="1" applyAlignment="1" applyProtection="1">
      <alignment horizontal="center" vertical="center"/>
    </xf>
    <xf numFmtId="2" fontId="3" fillId="5" borderId="35" xfId="2" applyNumberFormat="1" applyFont="1" applyFill="1" applyBorder="1" applyAlignment="1" applyProtection="1">
      <alignment horizontal="center" vertical="center"/>
    </xf>
    <xf numFmtId="2" fontId="3" fillId="5" borderId="50" xfId="2" applyNumberFormat="1" applyFont="1" applyFill="1" applyBorder="1" applyAlignment="1" applyProtection="1">
      <alignment horizontal="center" vertical="center"/>
    </xf>
    <xf numFmtId="176" fontId="0" fillId="0" borderId="0" xfId="2" applyNumberFormat="1" applyFont="1" applyFill="1" applyAlignment="1" applyProtection="1">
      <alignment horizontal="center" vertical="center"/>
      <protection locked="0"/>
    </xf>
    <xf numFmtId="0" fontId="0" fillId="0" borderId="0" xfId="2" applyNumberFormat="1" applyFont="1" applyFill="1" applyAlignment="1" applyProtection="1">
      <alignment horizontal="center" vertical="center"/>
      <protection locked="0"/>
    </xf>
    <xf numFmtId="177" fontId="0" fillId="0" borderId="0" xfId="2" applyNumberFormat="1" applyFont="1" applyFill="1" applyAlignment="1" applyProtection="1">
      <alignment horizontal="center" vertical="center"/>
      <protection locked="0"/>
    </xf>
    <xf numFmtId="4" fontId="0" fillId="0" borderId="0" xfId="2" applyNumberFormat="1" applyFont="1" applyFill="1" applyAlignment="1" applyProtection="1">
      <alignment horizontal="center" vertical="center"/>
      <protection locked="0"/>
    </xf>
    <xf numFmtId="167" fontId="0" fillId="0" borderId="0" xfId="2" applyNumberFormat="1" applyFont="1" applyFill="1" applyAlignment="1" applyProtection="1">
      <alignment horizontal="center" vertical="center"/>
      <protection locked="0"/>
    </xf>
    <xf numFmtId="174" fontId="0" fillId="0" borderId="0" xfId="0" applyNumberFormat="1" applyAlignment="1" applyProtection="1">
      <alignment horizontal="center" vertical="center"/>
      <protection locked="0"/>
    </xf>
    <xf numFmtId="0" fontId="6" fillId="0" borderId="0" xfId="3" applyFill="1" applyAlignment="1" applyProtection="1">
      <alignment horizontal="center" vertical="center"/>
      <protection locked="0"/>
    </xf>
    <xf numFmtId="10" fontId="71" fillId="0" borderId="0" xfId="0" applyNumberFormat="1" applyFont="1" applyAlignment="1">
      <alignment horizontal="center" vertical="center"/>
    </xf>
    <xf numFmtId="10" fontId="77" fillId="0" borderId="0" xfId="0" applyNumberFormat="1" applyFont="1" applyAlignment="1">
      <alignment horizontal="center" vertical="center"/>
    </xf>
    <xf numFmtId="0" fontId="77" fillId="0" borderId="0" xfId="0" applyFont="1" applyAlignment="1">
      <alignment horizontal="center" vertical="center"/>
    </xf>
    <xf numFmtId="10" fontId="77" fillId="0" borderId="0" xfId="2" applyNumberFormat="1" applyFont="1" applyFill="1" applyBorder="1" applyAlignment="1" applyProtection="1">
      <alignment horizontal="center" vertical="center"/>
    </xf>
    <xf numFmtId="0" fontId="77" fillId="0" borderId="0" xfId="2" applyNumberFormat="1" applyFont="1" applyFill="1" applyBorder="1" applyAlignment="1" applyProtection="1">
      <alignment horizontal="center" vertical="center"/>
    </xf>
    <xf numFmtId="10" fontId="71" fillId="0" borderId="0" xfId="2" applyNumberFormat="1" applyFont="1" applyFill="1" applyBorder="1" applyAlignment="1" applyProtection="1">
      <alignment horizontal="center" vertical="center"/>
    </xf>
    <xf numFmtId="2" fontId="71" fillId="0" borderId="0" xfId="2" applyNumberFormat="1" applyFont="1" applyFill="1" applyBorder="1" applyAlignment="1" applyProtection="1">
      <alignment horizontal="center" vertical="center"/>
    </xf>
    <xf numFmtId="0" fontId="77" fillId="0" borderId="0" xfId="0" applyFont="1" applyProtection="1">
      <protection locked="0"/>
    </xf>
    <xf numFmtId="0" fontId="76" fillId="0" borderId="0" xfId="0" applyFont="1" applyAlignment="1" applyProtection="1">
      <alignment vertical="center" wrapText="1"/>
      <protection locked="0"/>
    </xf>
    <xf numFmtId="0" fontId="86" fillId="0" borderId="0" xfId="0" applyFont="1" applyAlignment="1" applyProtection="1">
      <alignment vertical="center" wrapText="1"/>
      <protection locked="0"/>
    </xf>
    <xf numFmtId="0" fontId="87" fillId="0" borderId="0" xfId="0" applyFont="1" applyAlignment="1" applyProtection="1">
      <alignment vertical="center" wrapText="1"/>
      <protection locked="0"/>
    </xf>
    <xf numFmtId="3" fontId="37" fillId="0" borderId="0" xfId="0" applyNumberFormat="1" applyFont="1" applyAlignment="1" applyProtection="1">
      <alignment vertical="center" wrapText="1"/>
      <protection locked="0"/>
    </xf>
    <xf numFmtId="0" fontId="37" fillId="0" borderId="0" xfId="0" applyFont="1" applyAlignment="1" applyProtection="1">
      <alignment horizontal="left" vertical="center" wrapText="1"/>
      <protection locked="0"/>
    </xf>
    <xf numFmtId="0" fontId="88" fillId="0" borderId="0" xfId="0" applyFont="1" applyProtection="1">
      <protection locked="0"/>
    </xf>
    <xf numFmtId="0" fontId="35" fillId="3" borderId="37" xfId="0" applyFont="1" applyFill="1" applyBorder="1" applyAlignment="1" applyProtection="1">
      <alignment horizontal="center"/>
      <protection locked="0"/>
    </xf>
    <xf numFmtId="0" fontId="35" fillId="3" borderId="0" xfId="0" applyFont="1" applyFill="1" applyAlignment="1" applyProtection="1">
      <alignment horizontal="center"/>
      <protection locked="0"/>
    </xf>
    <xf numFmtId="0" fontId="35" fillId="3" borderId="6" xfId="0" applyFont="1" applyFill="1" applyBorder="1" applyAlignment="1" applyProtection="1">
      <alignment horizontal="center"/>
      <protection locked="0"/>
    </xf>
    <xf numFmtId="0" fontId="35" fillId="3" borderId="36" xfId="0" applyFont="1" applyFill="1" applyBorder="1" applyAlignment="1" applyProtection="1">
      <alignment vertical="center"/>
      <protection locked="0"/>
    </xf>
    <xf numFmtId="0" fontId="27" fillId="0" borderId="0" xfId="0" applyFont="1" applyAlignment="1" applyProtection="1">
      <alignment horizontal="center"/>
      <protection locked="0"/>
    </xf>
    <xf numFmtId="166" fontId="27" fillId="0" borderId="0" xfId="1" applyNumberFormat="1" applyFont="1" applyFill="1" applyBorder="1" applyAlignment="1" applyProtection="1">
      <alignment horizontal="center"/>
      <protection locked="0"/>
    </xf>
    <xf numFmtId="0" fontId="89" fillId="0" borderId="0" xfId="0" applyFont="1" applyAlignment="1" applyProtection="1">
      <alignment horizontal="left"/>
      <protection locked="0"/>
    </xf>
    <xf numFmtId="0" fontId="27" fillId="0" borderId="0" xfId="0" applyFont="1" applyAlignment="1">
      <alignment horizontal="center"/>
    </xf>
    <xf numFmtId="0" fontId="27" fillId="0" borderId="0" xfId="0" applyFont="1" applyProtection="1">
      <protection locked="0"/>
    </xf>
    <xf numFmtId="0" fontId="88" fillId="0" borderId="0" xfId="0" applyFont="1" applyAlignment="1" applyProtection="1">
      <alignment vertical="center"/>
      <protection locked="0"/>
    </xf>
    <xf numFmtId="0" fontId="2" fillId="2" borderId="20" xfId="0" applyFont="1" applyFill="1" applyBorder="1" applyAlignment="1">
      <alignment vertical="center"/>
    </xf>
    <xf numFmtId="0" fontId="2" fillId="2" borderId="7" xfId="0" applyFont="1" applyFill="1" applyBorder="1" applyAlignment="1">
      <alignment vertical="center"/>
    </xf>
    <xf numFmtId="0" fontId="2" fillId="2" borderId="7" xfId="0" applyFont="1" applyFill="1" applyBorder="1" applyAlignment="1" applyProtection="1">
      <alignment horizontal="center" vertical="center" wrapText="1"/>
      <protection locked="0"/>
    </xf>
    <xf numFmtId="0" fontId="2" fillId="2" borderId="7" xfId="0" applyFont="1" applyFill="1" applyBorder="1" applyAlignment="1">
      <alignment horizontal="center" vertical="center"/>
    </xf>
    <xf numFmtId="0" fontId="2" fillId="2" borderId="33" xfId="0" applyFont="1" applyFill="1" applyBorder="1" applyAlignment="1">
      <alignment horizontal="center" vertical="center" wrapText="1"/>
    </xf>
    <xf numFmtId="0" fontId="88" fillId="0" borderId="0" xfId="0" applyFont="1" applyAlignment="1">
      <alignment horizontal="left" vertical="center" wrapText="1"/>
    </xf>
    <xf numFmtId="0" fontId="30" fillId="0" borderId="0" xfId="0" applyFont="1" applyAlignment="1">
      <alignment vertical="center"/>
    </xf>
    <xf numFmtId="0" fontId="30" fillId="0" borderId="0" xfId="0" applyFont="1" applyAlignment="1">
      <alignment horizontal="center" vertical="center"/>
    </xf>
    <xf numFmtId="43" fontId="88" fillId="0" borderId="0" xfId="0" applyNumberFormat="1" applyFont="1" applyAlignment="1" applyProtection="1">
      <alignment vertical="center"/>
      <protection locked="0"/>
    </xf>
    <xf numFmtId="0" fontId="30" fillId="0" borderId="0" xfId="0" applyFont="1" applyAlignment="1">
      <alignment horizontal="left" vertical="center" wrapText="1"/>
    </xf>
    <xf numFmtId="2" fontId="88" fillId="0" borderId="0" xfId="0" applyNumberFormat="1" applyFont="1" applyAlignment="1">
      <alignment horizontal="center" vertical="center" wrapText="1"/>
    </xf>
    <xf numFmtId="0" fontId="88" fillId="0" borderId="0" xfId="0" applyFont="1" applyAlignment="1">
      <alignment vertical="center"/>
    </xf>
    <xf numFmtId="0" fontId="88" fillId="0" borderId="0" xfId="0" applyFont="1" applyAlignment="1">
      <alignment vertical="center" wrapText="1"/>
    </xf>
    <xf numFmtId="0" fontId="88" fillId="0" borderId="0" xfId="0" applyFont="1" applyAlignment="1" applyProtection="1">
      <alignment vertical="center" wrapText="1"/>
      <protection locked="0"/>
    </xf>
    <xf numFmtId="0" fontId="5" fillId="2" borderId="7" xfId="0" applyFont="1" applyFill="1" applyBorder="1" applyAlignment="1">
      <alignment horizontal="left" vertical="center" wrapText="1"/>
    </xf>
    <xf numFmtId="0" fontId="77" fillId="5" borderId="7" xfId="0" applyFont="1" applyFill="1" applyBorder="1" applyAlignment="1">
      <alignment vertical="center"/>
    </xf>
    <xf numFmtId="1" fontId="77" fillId="5" borderId="7" xfId="0" applyNumberFormat="1" applyFont="1" applyFill="1" applyBorder="1" applyAlignment="1" applyProtection="1">
      <alignment vertical="center"/>
      <protection locked="0"/>
    </xf>
    <xf numFmtId="2" fontId="77" fillId="5" borderId="33" xfId="0" applyNumberFormat="1" applyFont="1" applyFill="1" applyBorder="1" applyAlignment="1">
      <alignment horizontal="center" vertical="center"/>
    </xf>
    <xf numFmtId="0" fontId="88" fillId="0" borderId="0" xfId="0" applyFont="1" applyAlignment="1">
      <alignment horizontal="center" vertical="center"/>
    </xf>
    <xf numFmtId="0" fontId="2" fillId="2" borderId="20" xfId="0" applyFont="1" applyFill="1" applyBorder="1" applyAlignment="1">
      <alignment vertical="center" wrapText="1"/>
    </xf>
    <xf numFmtId="1" fontId="77" fillId="5" borderId="7" xfId="0" applyNumberFormat="1" applyFont="1" applyFill="1" applyBorder="1" applyAlignment="1">
      <alignment vertical="center"/>
    </xf>
    <xf numFmtId="0" fontId="5" fillId="2" borderId="20" xfId="0" applyFont="1" applyFill="1" applyBorder="1" applyAlignment="1">
      <alignment vertical="center"/>
    </xf>
    <xf numFmtId="167" fontId="91" fillId="0" borderId="0" xfId="2" applyNumberFormat="1" applyFont="1" applyFill="1" applyBorder="1" applyAlignment="1">
      <alignment horizontal="right" vertical="center"/>
    </xf>
    <xf numFmtId="0" fontId="92" fillId="0" borderId="0" xfId="0" applyFont="1" applyAlignment="1">
      <alignment horizontal="center" vertical="center"/>
    </xf>
    <xf numFmtId="2" fontId="93" fillId="0" borderId="0" xfId="0" applyNumberFormat="1" applyFont="1" applyAlignment="1">
      <alignment horizontal="center" vertical="center"/>
    </xf>
    <xf numFmtId="0" fontId="93" fillId="0" borderId="0" xfId="0" applyFont="1" applyAlignment="1">
      <alignment horizontal="center" vertical="center"/>
    </xf>
    <xf numFmtId="0" fontId="94" fillId="0" borderId="0" xfId="0" applyFont="1" applyAlignment="1">
      <alignment vertical="center"/>
    </xf>
    <xf numFmtId="2" fontId="71" fillId="5" borderId="33" xfId="0" applyNumberFormat="1" applyFont="1" applyFill="1" applyBorder="1" applyAlignment="1">
      <alignment horizontal="center" vertical="center"/>
    </xf>
    <xf numFmtId="0" fontId="5" fillId="2" borderId="7" xfId="0" applyFont="1" applyFill="1" applyBorder="1" applyAlignment="1">
      <alignment vertical="center" wrapText="1"/>
    </xf>
    <xf numFmtId="172" fontId="88" fillId="0" borderId="0" xfId="0" applyNumberFormat="1" applyFont="1" applyAlignment="1">
      <alignment vertical="center"/>
    </xf>
    <xf numFmtId="3" fontId="88" fillId="0" borderId="0" xfId="0" applyNumberFormat="1" applyFont="1" applyAlignment="1">
      <alignment horizontal="left" vertical="center"/>
    </xf>
    <xf numFmtId="0" fontId="95" fillId="0" borderId="0" xfId="0" applyFont="1" applyAlignment="1">
      <alignment horizontal="right" vertical="center"/>
    </xf>
    <xf numFmtId="2" fontId="95" fillId="0" borderId="0" xfId="0" applyNumberFormat="1" applyFont="1" applyAlignment="1">
      <alignment horizontal="center" vertical="center"/>
    </xf>
    <xf numFmtId="2" fontId="96" fillId="0" borderId="0" xfId="0" applyNumberFormat="1" applyFont="1" applyAlignment="1">
      <alignment horizontal="center" vertical="center"/>
    </xf>
    <xf numFmtId="174" fontId="96" fillId="0" borderId="0" xfId="0" applyNumberFormat="1" applyFont="1" applyAlignment="1">
      <alignment horizontal="center" vertical="center"/>
    </xf>
    <xf numFmtId="174" fontId="88" fillId="0" borderId="0" xfId="0" applyNumberFormat="1" applyFont="1" applyAlignment="1">
      <alignment vertical="center"/>
    </xf>
    <xf numFmtId="2" fontId="88" fillId="0" borderId="0" xfId="0" applyNumberFormat="1" applyFont="1" applyAlignment="1" applyProtection="1">
      <alignment vertical="center"/>
      <protection locked="0"/>
    </xf>
    <xf numFmtId="0" fontId="77" fillId="5" borderId="7" xfId="0" applyFont="1" applyFill="1" applyBorder="1" applyAlignment="1" applyProtection="1">
      <alignment vertical="center"/>
      <protection locked="0"/>
    </xf>
    <xf numFmtId="0" fontId="97" fillId="0" borderId="0" xfId="0" applyFont="1" applyAlignment="1">
      <alignment vertical="center"/>
    </xf>
    <xf numFmtId="3" fontId="88" fillId="0" borderId="0" xfId="1" applyNumberFormat="1" applyFont="1" applyFill="1" applyBorder="1" applyAlignment="1" applyProtection="1">
      <alignment horizontal="left" vertical="center"/>
    </xf>
    <xf numFmtId="0" fontId="98" fillId="0" borderId="0" xfId="0" applyFont="1" applyAlignment="1">
      <alignment horizontal="right" vertical="center"/>
    </xf>
    <xf numFmtId="174" fontId="95" fillId="0" borderId="0" xfId="0" applyNumberFormat="1" applyFont="1" applyAlignment="1">
      <alignment horizontal="center" vertical="center"/>
    </xf>
    <xf numFmtId="0" fontId="96" fillId="0" borderId="0" xfId="0" applyFont="1" applyAlignment="1">
      <alignment horizontal="center" vertical="center"/>
    </xf>
    <xf numFmtId="0" fontId="97" fillId="0" borderId="0" xfId="0" applyFont="1" applyAlignment="1">
      <alignment horizontal="left" vertical="center"/>
    </xf>
    <xf numFmtId="10" fontId="99" fillId="0" borderId="0" xfId="2" applyNumberFormat="1" applyFont="1" applyFill="1" applyBorder="1" applyAlignment="1" applyProtection="1">
      <alignment horizontal="right" vertical="center"/>
    </xf>
    <xf numFmtId="2" fontId="100" fillId="0" borderId="0" xfId="0" applyNumberFormat="1" applyFont="1" applyAlignment="1">
      <alignment horizontal="center" vertical="center"/>
    </xf>
    <xf numFmtId="43" fontId="88" fillId="0" borderId="0" xfId="1" applyFont="1" applyBorder="1" applyAlignment="1" applyProtection="1">
      <alignment vertical="center"/>
    </xf>
    <xf numFmtId="172" fontId="99" fillId="0" borderId="0" xfId="0" applyNumberFormat="1" applyFont="1" applyAlignment="1">
      <alignment horizontal="right" vertical="center"/>
    </xf>
    <xf numFmtId="0" fontId="5" fillId="2" borderId="40" xfId="0" applyFont="1" applyFill="1" applyBorder="1" applyAlignment="1">
      <alignment vertical="center"/>
    </xf>
    <xf numFmtId="3" fontId="77" fillId="5" borderId="7" xfId="0" applyNumberFormat="1" applyFont="1" applyFill="1" applyBorder="1" applyAlignment="1" applyProtection="1">
      <alignment vertical="center" wrapText="1"/>
      <protection locked="0"/>
    </xf>
    <xf numFmtId="3" fontId="88" fillId="0" borderId="0" xfId="2" applyNumberFormat="1" applyFont="1" applyFill="1" applyBorder="1" applyAlignment="1" applyProtection="1">
      <alignment horizontal="left" vertical="center"/>
    </xf>
    <xf numFmtId="10" fontId="99" fillId="0" borderId="0" xfId="2" applyNumberFormat="1" applyFont="1" applyFill="1" applyBorder="1" applyAlignment="1" applyProtection="1">
      <alignment horizontal="center" vertical="center"/>
    </xf>
    <xf numFmtId="2" fontId="88" fillId="0" borderId="0" xfId="0" applyNumberFormat="1" applyFont="1" applyAlignment="1">
      <alignment vertical="center"/>
    </xf>
    <xf numFmtId="1" fontId="71" fillId="5" borderId="7" xfId="0" applyNumberFormat="1" applyFont="1" applyFill="1" applyBorder="1" applyAlignment="1" applyProtection="1">
      <alignment vertical="center"/>
      <protection locked="0"/>
    </xf>
    <xf numFmtId="10" fontId="88" fillId="0" borderId="0" xfId="2" applyNumberFormat="1" applyFont="1" applyFill="1" applyBorder="1" applyAlignment="1" applyProtection="1">
      <alignment horizontal="center" vertical="center"/>
    </xf>
    <xf numFmtId="2" fontId="97" fillId="0" borderId="0" xfId="0" applyNumberFormat="1" applyFont="1" applyAlignment="1">
      <alignment horizontal="center" vertical="center"/>
    </xf>
    <xf numFmtId="2" fontId="88" fillId="0" borderId="0" xfId="0" applyNumberFormat="1" applyFont="1" applyAlignment="1">
      <alignment horizontal="center" vertical="center"/>
    </xf>
    <xf numFmtId="172" fontId="88" fillId="0" borderId="0" xfId="0" applyNumberFormat="1" applyFont="1" applyAlignment="1">
      <alignment horizontal="center" vertical="center"/>
    </xf>
    <xf numFmtId="0" fontId="30" fillId="0" borderId="0" xfId="0" applyFont="1" applyAlignment="1">
      <alignment vertical="center" wrapText="1"/>
    </xf>
    <xf numFmtId="10" fontId="30" fillId="0" borderId="0" xfId="2" applyNumberFormat="1" applyFont="1" applyFill="1" applyBorder="1" applyAlignment="1" applyProtection="1">
      <alignment horizontal="right" vertical="center"/>
    </xf>
    <xf numFmtId="0" fontId="5" fillId="2" borderId="7" xfId="0" applyFont="1" applyFill="1" applyBorder="1" applyAlignment="1" applyProtection="1">
      <alignment vertical="center"/>
      <protection locked="0"/>
    </xf>
    <xf numFmtId="10" fontId="30" fillId="0" borderId="0" xfId="2" applyNumberFormat="1" applyFont="1" applyFill="1" applyBorder="1" applyAlignment="1" applyProtection="1">
      <alignment horizontal="center" vertical="center"/>
    </xf>
    <xf numFmtId="0" fontId="2" fillId="2" borderId="7" xfId="0" applyFont="1" applyFill="1" applyBorder="1" applyAlignment="1" applyProtection="1">
      <alignment vertical="center" wrapText="1"/>
      <protection locked="0"/>
    </xf>
    <xf numFmtId="0" fontId="2" fillId="2" borderId="7" xfId="0" applyFont="1" applyFill="1" applyBorder="1" applyAlignment="1">
      <alignment vertical="center" wrapText="1"/>
    </xf>
    <xf numFmtId="4" fontId="77" fillId="5" borderId="7" xfId="0" applyNumberFormat="1" applyFont="1" applyFill="1" applyBorder="1" applyAlignment="1">
      <alignment horizontal="center" vertical="center"/>
    </xf>
    <xf numFmtId="2" fontId="71" fillId="6" borderId="33" xfId="0" applyNumberFormat="1" applyFont="1" applyFill="1" applyBorder="1" applyAlignment="1">
      <alignment horizontal="center" vertical="center"/>
    </xf>
    <xf numFmtId="0" fontId="30" fillId="0" borderId="0" xfId="0" applyFont="1" applyAlignment="1">
      <alignment horizontal="left" vertical="center"/>
    </xf>
    <xf numFmtId="3" fontId="88" fillId="0" borderId="0" xfId="0" applyNumberFormat="1" applyFont="1" applyAlignment="1">
      <alignment vertical="center"/>
    </xf>
    <xf numFmtId="3" fontId="77" fillId="5" borderId="22" xfId="0" applyNumberFormat="1" applyFont="1" applyFill="1" applyBorder="1" applyAlignment="1">
      <alignment horizontal="center" vertical="center"/>
    </xf>
    <xf numFmtId="3" fontId="5" fillId="2" borderId="22" xfId="0" applyNumberFormat="1" applyFont="1" applyFill="1" applyBorder="1" applyAlignment="1">
      <alignment horizontal="center" vertical="center"/>
    </xf>
    <xf numFmtId="2" fontId="71" fillId="13" borderId="33" xfId="0" applyNumberFormat="1" applyFont="1" applyFill="1" applyBorder="1" applyAlignment="1">
      <alignment horizontal="center" vertical="center" wrapText="1"/>
    </xf>
    <xf numFmtId="0" fontId="5" fillId="2" borderId="2" xfId="0" applyFont="1" applyFill="1" applyBorder="1" applyAlignment="1">
      <alignment vertical="center"/>
    </xf>
    <xf numFmtId="0" fontId="5" fillId="2" borderId="3" xfId="0" applyFont="1" applyFill="1" applyBorder="1" applyAlignment="1" applyProtection="1">
      <alignment vertical="center"/>
      <protection locked="0"/>
    </xf>
    <xf numFmtId="0" fontId="5" fillId="2" borderId="4" xfId="0" applyFont="1" applyFill="1" applyBorder="1" applyAlignment="1" applyProtection="1">
      <alignment vertical="center"/>
      <protection locked="0"/>
    </xf>
    <xf numFmtId="0" fontId="5" fillId="2" borderId="22" xfId="0" applyFont="1" applyFill="1" applyBorder="1" applyAlignment="1">
      <alignment vertical="center"/>
    </xf>
    <xf numFmtId="2" fontId="71" fillId="7" borderId="33" xfId="0" applyNumberFormat="1" applyFont="1" applyFill="1" applyBorder="1" applyAlignment="1">
      <alignment horizontal="center" vertical="center"/>
    </xf>
    <xf numFmtId="2" fontId="26" fillId="0" borderId="0" xfId="0" applyNumberFormat="1" applyFont="1" applyAlignment="1">
      <alignment horizontal="center" vertical="center"/>
    </xf>
    <xf numFmtId="2" fontId="101" fillId="0" borderId="0" xfId="0" applyNumberFormat="1" applyFont="1" applyAlignment="1">
      <alignment horizontal="center" vertical="center"/>
    </xf>
    <xf numFmtId="2" fontId="26" fillId="0" borderId="0" xfId="0" applyNumberFormat="1" applyFont="1" applyAlignment="1">
      <alignment vertical="center"/>
    </xf>
    <xf numFmtId="2" fontId="101" fillId="0" borderId="0" xfId="0" applyNumberFormat="1" applyFont="1" applyAlignment="1">
      <alignment vertical="center"/>
    </xf>
    <xf numFmtId="0" fontId="5" fillId="2" borderId="5" xfId="0" applyFont="1" applyFill="1" applyBorder="1" applyAlignment="1">
      <alignment vertical="center"/>
    </xf>
    <xf numFmtId="0" fontId="5" fillId="2" borderId="0" xfId="0" applyFont="1" applyFill="1" applyAlignment="1" applyProtection="1">
      <alignment vertical="center"/>
      <protection locked="0"/>
    </xf>
    <xf numFmtId="0" fontId="5" fillId="2" borderId="6" xfId="0" applyFont="1" applyFill="1" applyBorder="1" applyAlignment="1" applyProtection="1">
      <alignment vertical="center"/>
      <protection locked="0"/>
    </xf>
    <xf numFmtId="0" fontId="5" fillId="2" borderId="65" xfId="0" applyFont="1" applyFill="1" applyBorder="1" applyAlignment="1">
      <alignment vertical="center"/>
    </xf>
    <xf numFmtId="0" fontId="5" fillId="2" borderId="13" xfId="0" applyFont="1" applyFill="1" applyBorder="1" applyAlignment="1">
      <alignment vertical="center"/>
    </xf>
    <xf numFmtId="0" fontId="5" fillId="2" borderId="81" xfId="0" applyFont="1" applyFill="1" applyBorder="1" applyAlignment="1" applyProtection="1">
      <alignment vertical="center"/>
      <protection locked="0"/>
    </xf>
    <xf numFmtId="0" fontId="5" fillId="2" borderId="64" xfId="0" applyFont="1" applyFill="1" applyBorder="1" applyAlignment="1">
      <alignment vertical="center"/>
    </xf>
    <xf numFmtId="2" fontId="71" fillId="7" borderId="28" xfId="0" applyNumberFormat="1" applyFont="1" applyFill="1" applyBorder="1" applyAlignment="1">
      <alignment horizontal="center" vertical="center"/>
    </xf>
    <xf numFmtId="2" fontId="27" fillId="0" borderId="0" xfId="0" applyNumberFormat="1" applyFont="1" applyAlignment="1" applyProtection="1">
      <alignment horizontal="center"/>
      <protection locked="0"/>
    </xf>
    <xf numFmtId="0" fontId="88" fillId="0" borderId="0" xfId="0" applyFont="1" applyAlignment="1">
      <alignment horizontal="center"/>
    </xf>
    <xf numFmtId="2" fontId="30" fillId="0" borderId="0" xfId="0" applyNumberFormat="1" applyFont="1"/>
    <xf numFmtId="0" fontId="88" fillId="0" borderId="0" xfId="0" applyFont="1"/>
    <xf numFmtId="2" fontId="88" fillId="0" borderId="0" xfId="0" applyNumberFormat="1" applyFont="1" applyAlignment="1">
      <alignment horizontal="center"/>
    </xf>
    <xf numFmtId="43" fontId="88" fillId="0" borderId="0" xfId="1" applyFont="1" applyBorder="1" applyAlignment="1" applyProtection="1">
      <alignment horizontal="center"/>
    </xf>
    <xf numFmtId="0" fontId="77" fillId="0" borderId="0" xfId="0" applyFont="1" applyAlignment="1">
      <alignment horizontal="center"/>
    </xf>
    <xf numFmtId="0" fontId="77" fillId="0" borderId="0" xfId="0" applyFont="1"/>
    <xf numFmtId="0" fontId="77" fillId="0" borderId="0" xfId="0" applyFont="1" applyAlignment="1">
      <alignment vertical="center"/>
    </xf>
    <xf numFmtId="0" fontId="77" fillId="0" borderId="0" xfId="0" applyFont="1" applyAlignment="1" applyProtection="1">
      <alignment vertical="center"/>
      <protection locked="0"/>
    </xf>
    <xf numFmtId="0" fontId="77" fillId="0" borderId="0" xfId="0" applyFont="1" applyAlignment="1" applyProtection="1">
      <alignment horizontal="center"/>
      <protection locked="0"/>
    </xf>
    <xf numFmtId="0" fontId="3" fillId="0" borderId="0" xfId="0" applyFont="1" applyAlignment="1">
      <alignment horizontal="center" vertical="center"/>
    </xf>
    <xf numFmtId="0" fontId="0" fillId="0" borderId="0" xfId="0" applyAlignment="1">
      <alignment vertical="center"/>
    </xf>
    <xf numFmtId="0" fontId="102" fillId="0" borderId="0" xfId="0" applyFont="1" applyAlignment="1">
      <alignment vertical="center"/>
    </xf>
    <xf numFmtId="0" fontId="103" fillId="0" borderId="0" xfId="0" applyFont="1" applyAlignment="1">
      <alignment horizontal="center" vertical="center"/>
    </xf>
    <xf numFmtId="0" fontId="104" fillId="0" borderId="0" xfId="0" applyFont="1" applyAlignment="1">
      <alignment vertical="center"/>
    </xf>
    <xf numFmtId="0" fontId="105" fillId="2" borderId="7" xfId="0" applyFont="1" applyFill="1" applyBorder="1" applyAlignment="1">
      <alignment horizontal="center" vertical="center" wrapText="1"/>
    </xf>
    <xf numFmtId="0" fontId="5" fillId="2" borderId="0" xfId="0" applyFont="1" applyFill="1" applyAlignment="1">
      <alignment horizontal="center" vertical="center"/>
    </xf>
    <xf numFmtId="2" fontId="3" fillId="4" borderId="7" xfId="0" applyNumberFormat="1" applyFont="1" applyFill="1" applyBorder="1" applyAlignment="1">
      <alignment horizontal="center" vertical="center"/>
    </xf>
    <xf numFmtId="2" fontId="0" fillId="6" borderId="7" xfId="0" applyNumberFormat="1" applyFill="1" applyBorder="1" applyAlignment="1">
      <alignment horizontal="center" vertical="center"/>
    </xf>
    <xf numFmtId="2" fontId="0" fillId="0" borderId="0" xfId="0" applyNumberFormat="1" applyAlignment="1">
      <alignment horizontal="center" vertical="center"/>
    </xf>
    <xf numFmtId="0" fontId="5" fillId="2" borderId="0" xfId="0" applyFont="1" applyFill="1" applyAlignment="1">
      <alignment vertical="center"/>
    </xf>
    <xf numFmtId="0" fontId="5" fillId="2" borderId="7" xfId="0" applyFont="1" applyFill="1" applyBorder="1" applyAlignment="1">
      <alignment vertical="center"/>
    </xf>
    <xf numFmtId="0" fontId="5" fillId="2" borderId="7" xfId="0" applyFont="1" applyFill="1" applyBorder="1" applyAlignment="1">
      <alignment horizontal="center" vertical="center"/>
    </xf>
    <xf numFmtId="2" fontId="0" fillId="5" borderId="7" xfId="0" applyNumberFormat="1" applyFill="1" applyBorder="1" applyAlignment="1">
      <alignment horizontal="center" vertical="center"/>
    </xf>
    <xf numFmtId="0" fontId="5" fillId="2" borderId="47" xfId="0" applyFont="1" applyFill="1" applyBorder="1" applyAlignment="1">
      <alignment vertical="center"/>
    </xf>
    <xf numFmtId="2" fontId="0" fillId="5" borderId="47" xfId="0" applyNumberFormat="1" applyFill="1" applyBorder="1" applyAlignment="1">
      <alignment horizontal="center" vertical="center"/>
    </xf>
    <xf numFmtId="0" fontId="5" fillId="2" borderId="0" xfId="0" applyFont="1" applyFill="1" applyAlignment="1">
      <alignment horizontal="right" vertical="center"/>
    </xf>
    <xf numFmtId="0" fontId="5" fillId="2" borderId="7" xfId="0" applyFont="1" applyFill="1" applyBorder="1" applyAlignment="1">
      <alignment horizontal="center" vertical="center" wrapText="1"/>
    </xf>
    <xf numFmtId="37" fontId="5" fillId="2" borderId="7" xfId="1" applyNumberFormat="1" applyFont="1" applyFill="1" applyBorder="1" applyAlignment="1">
      <alignment horizontal="right" vertical="center"/>
    </xf>
    <xf numFmtId="178" fontId="77" fillId="6" borderId="7" xfId="2" applyNumberFormat="1" applyFont="1" applyFill="1" applyBorder="1" applyAlignment="1">
      <alignment horizontal="center" vertical="center"/>
    </xf>
    <xf numFmtId="37" fontId="5" fillId="2" borderId="54" xfId="0" applyNumberFormat="1" applyFont="1" applyFill="1" applyBorder="1" applyAlignment="1">
      <alignment horizontal="center" vertical="center"/>
    </xf>
    <xf numFmtId="0" fontId="5" fillId="2" borderId="7" xfId="0" applyFont="1" applyFill="1" applyBorder="1" applyAlignment="1">
      <alignment horizontal="right" vertical="center"/>
    </xf>
    <xf numFmtId="179" fontId="0" fillId="6" borderId="7" xfId="1" applyNumberFormat="1" applyFont="1" applyFill="1" applyBorder="1" applyAlignment="1">
      <alignment horizontal="center" vertical="center"/>
    </xf>
    <xf numFmtId="0" fontId="5" fillId="2" borderId="7" xfId="0" applyFont="1" applyFill="1" applyBorder="1" applyAlignment="1">
      <alignment horizontal="right" vertical="center" wrapText="1"/>
    </xf>
    <xf numFmtId="0" fontId="0" fillId="2" borderId="0" xfId="0" applyFill="1" applyAlignment="1">
      <alignment vertical="center"/>
    </xf>
    <xf numFmtId="2" fontId="0" fillId="0" borderId="0" xfId="0" applyNumberFormat="1" applyAlignment="1">
      <alignment vertical="center"/>
    </xf>
    <xf numFmtId="2" fontId="0" fillId="5" borderId="9" xfId="0" applyNumberFormat="1" applyFill="1" applyBorder="1" applyAlignment="1">
      <alignment horizontal="center" vertical="center"/>
    </xf>
    <xf numFmtId="0" fontId="0" fillId="2" borderId="0" xfId="0" applyFill="1" applyAlignment="1">
      <alignment horizontal="center" vertical="center"/>
    </xf>
    <xf numFmtId="43" fontId="3" fillId="5" borderId="7" xfId="1" applyFont="1" applyFill="1" applyBorder="1" applyAlignment="1">
      <alignment horizontal="center" vertical="center"/>
    </xf>
    <xf numFmtId="170" fontId="0" fillId="6" borderId="7" xfId="0" applyNumberFormat="1" applyFill="1" applyBorder="1" applyAlignment="1">
      <alignment vertical="center"/>
    </xf>
    <xf numFmtId="2" fontId="0" fillId="6" borderId="7" xfId="0" applyNumberFormat="1" applyFill="1" applyBorder="1" applyAlignment="1">
      <alignment vertical="center"/>
    </xf>
    <xf numFmtId="0" fontId="2" fillId="2" borderId="0" xfId="0" applyFont="1" applyFill="1" applyAlignment="1">
      <alignment vertical="center"/>
    </xf>
    <xf numFmtId="0" fontId="4" fillId="2" borderId="0" xfId="0" applyFont="1" applyFill="1" applyAlignment="1">
      <alignment vertical="center"/>
    </xf>
    <xf numFmtId="0" fontId="4" fillId="0" borderId="0" xfId="0" applyFont="1" applyAlignment="1">
      <alignment vertical="center"/>
    </xf>
    <xf numFmtId="0" fontId="4" fillId="0" borderId="0" xfId="0" applyFont="1" applyAlignment="1">
      <alignment vertical="center" wrapText="1"/>
    </xf>
    <xf numFmtId="4" fontId="0" fillId="0" borderId="0" xfId="0" applyNumberFormat="1" applyAlignment="1">
      <alignment vertical="center"/>
    </xf>
    <xf numFmtId="172" fontId="0" fillId="0" borderId="0" xfId="0" applyNumberFormat="1" applyAlignment="1">
      <alignment vertical="center"/>
    </xf>
    <xf numFmtId="170" fontId="0" fillId="5" borderId="7" xfId="0" applyNumberFormat="1" applyFill="1" applyBorder="1" applyAlignment="1">
      <alignment vertical="center"/>
    </xf>
    <xf numFmtId="0" fontId="0" fillId="0" borderId="0" xfId="0" applyAlignment="1">
      <alignment horizontal="right" vertical="center"/>
    </xf>
    <xf numFmtId="172" fontId="0" fillId="5" borderId="7" xfId="0" applyNumberFormat="1" applyFill="1" applyBorder="1" applyAlignment="1">
      <alignment vertical="center"/>
    </xf>
    <xf numFmtId="0" fontId="52" fillId="0" borderId="0" xfId="0" applyFont="1"/>
    <xf numFmtId="0" fontId="2" fillId="2" borderId="0" xfId="0" applyFont="1" applyFill="1"/>
    <xf numFmtId="0" fontId="0" fillId="2" borderId="10" xfId="0" applyFill="1" applyBorder="1"/>
    <xf numFmtId="0" fontId="106" fillId="2" borderId="7" xfId="0" applyFont="1" applyFill="1" applyBorder="1" applyAlignment="1">
      <alignment horizontal="left"/>
    </xf>
    <xf numFmtId="0" fontId="106" fillId="2" borderId="7" xfId="0" applyFont="1" applyFill="1" applyBorder="1" applyAlignment="1">
      <alignment horizontal="centerContinuous"/>
    </xf>
    <xf numFmtId="0" fontId="106" fillId="2" borderId="7" xfId="0" applyFont="1" applyFill="1" applyBorder="1" applyAlignment="1">
      <alignment horizontal="right"/>
    </xf>
    <xf numFmtId="172" fontId="106" fillId="2" borderId="7" xfId="0" applyNumberFormat="1" applyFont="1" applyFill="1" applyBorder="1" applyAlignment="1">
      <alignment horizontal="right"/>
    </xf>
    <xf numFmtId="0" fontId="106" fillId="2" borderId="7" xfId="0" applyFont="1" applyFill="1" applyBorder="1" applyAlignment="1">
      <alignment horizontal="right" wrapText="1"/>
    </xf>
    <xf numFmtId="172" fontId="106" fillId="2" borderId="7" xfId="0" applyNumberFormat="1" applyFont="1" applyFill="1" applyBorder="1" applyAlignment="1">
      <alignment horizontal="right" wrapText="1"/>
    </xf>
    <xf numFmtId="0" fontId="106" fillId="2" borderId="7" xfId="0" applyFont="1" applyFill="1" applyBorder="1"/>
    <xf numFmtId="0" fontId="105" fillId="2" borderId="7" xfId="0" applyFont="1" applyFill="1" applyBorder="1"/>
    <xf numFmtId="172" fontId="106" fillId="2" borderId="7" xfId="0" applyNumberFormat="1" applyFont="1" applyFill="1" applyBorder="1"/>
    <xf numFmtId="0" fontId="5" fillId="2" borderId="5" xfId="0" applyFont="1" applyFill="1" applyBorder="1"/>
    <xf numFmtId="3" fontId="107" fillId="6" borderId="7" xfId="0" applyNumberFormat="1" applyFont="1" applyFill="1" applyBorder="1"/>
    <xf numFmtId="172" fontId="107" fillId="6" borderId="7" xfId="0" applyNumberFormat="1" applyFont="1" applyFill="1" applyBorder="1"/>
    <xf numFmtId="3" fontId="107" fillId="0" borderId="0" xfId="0" applyNumberFormat="1" applyFont="1"/>
    <xf numFmtId="0" fontId="105" fillId="2" borderId="5" xfId="0" applyFont="1" applyFill="1" applyBorder="1"/>
    <xf numFmtId="0" fontId="106" fillId="2" borderId="51" xfId="0" applyFont="1" applyFill="1" applyBorder="1"/>
    <xf numFmtId="3" fontId="106" fillId="2" borderId="51" xfId="0" applyNumberFormat="1" applyFont="1" applyFill="1" applyBorder="1" applyAlignment="1">
      <alignment horizontal="right"/>
    </xf>
    <xf numFmtId="3" fontId="106" fillId="2" borderId="21" xfId="0" applyNumberFormat="1" applyFont="1" applyFill="1" applyBorder="1" applyAlignment="1">
      <alignment horizontal="right"/>
    </xf>
    <xf numFmtId="172" fontId="106" fillId="2" borderId="11" xfId="0" applyNumberFormat="1" applyFont="1" applyFill="1" applyBorder="1"/>
    <xf numFmtId="164" fontId="107" fillId="6" borderId="7" xfId="0" applyNumberFormat="1" applyFont="1" applyFill="1" applyBorder="1"/>
    <xf numFmtId="0" fontId="5" fillId="2" borderId="9" xfId="0" applyFont="1" applyFill="1" applyBorder="1"/>
    <xf numFmtId="166" fontId="107" fillId="6" borderId="7" xfId="0" applyNumberFormat="1" applyFont="1" applyFill="1" applyBorder="1" applyAlignment="1">
      <alignment horizontal="right" vertical="center"/>
    </xf>
    <xf numFmtId="166" fontId="107" fillId="6" borderId="7" xfId="0" applyNumberFormat="1" applyFont="1" applyFill="1" applyBorder="1" applyAlignment="1">
      <alignment vertical="center"/>
    </xf>
    <xf numFmtId="181" fontId="107" fillId="6" borderId="7" xfId="0" applyNumberFormat="1" applyFont="1" applyFill="1" applyBorder="1" applyAlignment="1">
      <alignment horizontal="right" vertical="center"/>
    </xf>
    <xf numFmtId="0" fontId="107" fillId="0" borderId="0" xfId="0" applyFont="1"/>
    <xf numFmtId="167" fontId="107" fillId="0" borderId="0" xfId="0" applyNumberFormat="1" applyFont="1"/>
    <xf numFmtId="180" fontId="107" fillId="0" borderId="0" xfId="0" applyNumberFormat="1" applyFont="1"/>
    <xf numFmtId="0" fontId="105" fillId="2" borderId="0" xfId="0" applyFont="1" applyFill="1"/>
    <xf numFmtId="0" fontId="105" fillId="2" borderId="7" xfId="0" applyFont="1" applyFill="1" applyBorder="1" applyAlignment="1">
      <alignment horizontal="right"/>
    </xf>
    <xf numFmtId="182" fontId="0" fillId="0" borderId="0" xfId="0" applyNumberFormat="1"/>
    <xf numFmtId="4" fontId="107" fillId="6" borderId="7" xfId="0" applyNumberFormat="1" applyFont="1" applyFill="1" applyBorder="1"/>
    <xf numFmtId="0" fontId="0" fillId="2" borderId="0" xfId="0" applyFill="1"/>
    <xf numFmtId="0" fontId="106" fillId="2" borderId="7" xfId="0" applyFont="1" applyFill="1" applyBorder="1" applyAlignment="1">
      <alignment horizontal="center"/>
    </xf>
    <xf numFmtId="0" fontId="5" fillId="2" borderId="7" xfId="0" applyFont="1" applyFill="1" applyBorder="1" applyAlignment="1">
      <alignment horizontal="center"/>
    </xf>
    <xf numFmtId="3" fontId="107" fillId="6" borderId="7" xfId="0" applyNumberFormat="1" applyFont="1" applyFill="1" applyBorder="1" applyAlignment="1">
      <alignment horizontal="center"/>
    </xf>
    <xf numFmtId="183" fontId="107" fillId="6" borderId="7" xfId="0" applyNumberFormat="1" applyFont="1" applyFill="1" applyBorder="1" applyAlignment="1">
      <alignment horizontal="center"/>
    </xf>
    <xf numFmtId="184" fontId="107" fillId="6" borderId="7" xfId="0" applyNumberFormat="1" applyFont="1" applyFill="1" applyBorder="1" applyAlignment="1">
      <alignment horizontal="center"/>
    </xf>
    <xf numFmtId="185" fontId="107" fillId="6" borderId="7" xfId="0" applyNumberFormat="1" applyFont="1" applyFill="1" applyBorder="1" applyAlignment="1">
      <alignment horizontal="center"/>
    </xf>
    <xf numFmtId="0" fontId="107" fillId="6" borderId="7" xfId="0" applyFont="1" applyFill="1" applyBorder="1" applyAlignment="1">
      <alignment horizontal="center"/>
    </xf>
    <xf numFmtId="180" fontId="107" fillId="6" borderId="7" xfId="0" applyNumberFormat="1" applyFont="1" applyFill="1" applyBorder="1" applyAlignment="1">
      <alignment horizontal="center"/>
    </xf>
    <xf numFmtId="172" fontId="107" fillId="6" borderId="7" xfId="0" applyNumberFormat="1" applyFont="1" applyFill="1" applyBorder="1" applyAlignment="1">
      <alignment horizontal="center"/>
    </xf>
    <xf numFmtId="174" fontId="107" fillId="6" borderId="7" xfId="0" applyNumberFormat="1" applyFont="1" applyFill="1" applyBorder="1" applyAlignment="1">
      <alignment horizontal="center"/>
    </xf>
    <xf numFmtId="164" fontId="107" fillId="6" borderId="7" xfId="0" applyNumberFormat="1" applyFont="1" applyFill="1" applyBorder="1" applyAlignment="1">
      <alignment horizontal="center"/>
    </xf>
    <xf numFmtId="165" fontId="107" fillId="6" borderId="7" xfId="0" applyNumberFormat="1" applyFont="1" applyFill="1" applyBorder="1" applyAlignment="1">
      <alignment horizontal="center"/>
    </xf>
    <xf numFmtId="186" fontId="107" fillId="6" borderId="7" xfId="0" applyNumberFormat="1" applyFont="1" applyFill="1" applyBorder="1" applyAlignment="1">
      <alignment horizontal="center"/>
    </xf>
    <xf numFmtId="4" fontId="107" fillId="6" borderId="7" xfId="0" applyNumberFormat="1" applyFont="1" applyFill="1" applyBorder="1" applyAlignment="1">
      <alignment horizontal="center"/>
    </xf>
    <xf numFmtId="187" fontId="107" fillId="6" borderId="7" xfId="0" applyNumberFormat="1" applyFont="1" applyFill="1" applyBorder="1" applyAlignment="1">
      <alignment horizontal="center"/>
    </xf>
    <xf numFmtId="188" fontId="107" fillId="6" borderId="7" xfId="0" applyNumberFormat="1" applyFont="1" applyFill="1" applyBorder="1" applyAlignment="1">
      <alignment horizontal="center"/>
    </xf>
    <xf numFmtId="0" fontId="5" fillId="2" borderId="0" xfId="0" applyFont="1" applyFill="1"/>
    <xf numFmtId="0" fontId="5" fillId="2" borderId="7" xfId="0" applyFont="1" applyFill="1" applyBorder="1"/>
    <xf numFmtId="0" fontId="0" fillId="0" borderId="7" xfId="0" applyBorder="1"/>
    <xf numFmtId="170" fontId="0" fillId="6" borderId="7" xfId="0" applyNumberFormat="1" applyFill="1" applyBorder="1"/>
    <xf numFmtId="0" fontId="106" fillId="2" borderId="0" xfId="0" applyFont="1" applyFill="1" applyAlignment="1">
      <alignment horizontal="left" vertical="center" wrapText="1"/>
    </xf>
    <xf numFmtId="0" fontId="105" fillId="2" borderId="51" xfId="0" applyFont="1" applyFill="1" applyBorder="1" applyAlignment="1">
      <alignment horizontal="center" vertical="center"/>
    </xf>
    <xf numFmtId="0" fontId="105" fillId="2" borderId="22" xfId="0" applyFont="1" applyFill="1" applyBorder="1" applyAlignment="1">
      <alignment horizontal="center" vertical="center"/>
    </xf>
    <xf numFmtId="0" fontId="107" fillId="2" borderId="7" xfId="0" applyFont="1" applyFill="1" applyBorder="1"/>
    <xf numFmtId="0" fontId="105" fillId="2" borderId="22" xfId="0" applyFont="1" applyFill="1" applyBorder="1" applyAlignment="1">
      <alignment horizontal="center"/>
    </xf>
    <xf numFmtId="0" fontId="105" fillId="2" borderId="7" xfId="0" applyFont="1" applyFill="1" applyBorder="1" applyAlignment="1">
      <alignment horizontal="center"/>
    </xf>
    <xf numFmtId="2" fontId="107" fillId="6" borderId="7" xfId="0" applyNumberFormat="1" applyFont="1" applyFill="1" applyBorder="1" applyAlignment="1">
      <alignment horizontal="center"/>
    </xf>
    <xf numFmtId="43" fontId="0" fillId="0" borderId="0" xfId="0" applyNumberFormat="1"/>
    <xf numFmtId="43" fontId="107" fillId="6" borderId="7" xfId="0" applyNumberFormat="1" applyFont="1" applyFill="1" applyBorder="1" applyAlignment="1">
      <alignment horizontal="center"/>
    </xf>
    <xf numFmtId="2" fontId="109" fillId="6" borderId="7" xfId="0" applyNumberFormat="1" applyFont="1" applyFill="1" applyBorder="1" applyAlignment="1">
      <alignment horizontal="center"/>
    </xf>
    <xf numFmtId="0" fontId="105" fillId="2" borderId="7" xfId="0" applyFont="1" applyFill="1" applyBorder="1" applyAlignment="1">
      <alignment wrapText="1"/>
    </xf>
    <xf numFmtId="0" fontId="107" fillId="6" borderId="7" xfId="0" applyFont="1" applyFill="1" applyBorder="1"/>
    <xf numFmtId="167" fontId="107" fillId="6" borderId="7" xfId="0" applyNumberFormat="1" applyFont="1" applyFill="1" applyBorder="1"/>
    <xf numFmtId="1" fontId="107" fillId="6" borderId="7" xfId="0" applyNumberFormat="1" applyFont="1" applyFill="1" applyBorder="1"/>
    <xf numFmtId="0" fontId="105" fillId="2" borderId="9" xfId="0" applyFont="1" applyFill="1" applyBorder="1" applyAlignment="1">
      <alignment horizontal="right"/>
    </xf>
    <xf numFmtId="167" fontId="107" fillId="6" borderId="10" xfId="0" applyNumberFormat="1" applyFont="1" applyFill="1" applyBorder="1"/>
    <xf numFmtId="0" fontId="107" fillId="6" borderId="10" xfId="0" applyFont="1" applyFill="1" applyBorder="1"/>
    <xf numFmtId="0" fontId="107" fillId="6" borderId="11" xfId="0" applyFont="1" applyFill="1" applyBorder="1"/>
    <xf numFmtId="0" fontId="105" fillId="0" borderId="37" xfId="0" applyFont="1" applyBorder="1" applyAlignment="1">
      <alignment horizontal="center" vertical="center" wrapText="1"/>
    </xf>
    <xf numFmtId="0" fontId="4" fillId="0" borderId="0" xfId="0" applyFont="1"/>
    <xf numFmtId="0" fontId="106" fillId="2" borderId="44" xfId="0" applyFont="1" applyFill="1" applyBorder="1" applyAlignment="1">
      <alignment horizontal="center" vertical="center" wrapText="1"/>
    </xf>
    <xf numFmtId="0" fontId="106" fillId="2" borderId="82" xfId="0" applyFont="1" applyFill="1" applyBorder="1" applyAlignment="1">
      <alignment horizontal="center" vertical="center" wrapText="1"/>
    </xf>
    <xf numFmtId="0" fontId="106" fillId="2" borderId="83" xfId="0" applyFont="1" applyFill="1" applyBorder="1" applyAlignment="1">
      <alignment horizontal="center" vertical="center" wrapText="1"/>
    </xf>
    <xf numFmtId="0" fontId="106" fillId="2" borderId="84" xfId="0" applyFont="1" applyFill="1" applyBorder="1" applyAlignment="1">
      <alignment horizontal="center" vertical="center" wrapText="1"/>
    </xf>
    <xf numFmtId="0" fontId="105" fillId="2" borderId="52" xfId="0" applyFont="1" applyFill="1" applyBorder="1" applyAlignment="1">
      <alignment horizontal="center" vertical="center" wrapText="1"/>
    </xf>
    <xf numFmtId="0" fontId="107" fillId="6" borderId="47" xfId="0" applyFont="1" applyFill="1" applyBorder="1" applyAlignment="1">
      <alignment horizontal="center" wrapText="1"/>
    </xf>
    <xf numFmtId="0" fontId="107" fillId="6" borderId="11" xfId="0" applyFont="1" applyFill="1" applyBorder="1" applyAlignment="1">
      <alignment horizontal="center" vertical="center" wrapText="1"/>
    </xf>
    <xf numFmtId="0" fontId="107" fillId="6" borderId="25" xfId="0" applyFont="1" applyFill="1" applyBorder="1" applyAlignment="1">
      <alignment horizontal="center" vertical="center" wrapText="1"/>
    </xf>
    <xf numFmtId="0" fontId="105" fillId="2" borderId="32" xfId="0" applyFont="1" applyFill="1" applyBorder="1" applyAlignment="1">
      <alignment horizontal="center" vertical="center" wrapText="1"/>
    </xf>
    <xf numFmtId="0" fontId="107" fillId="6" borderId="7" xfId="0" applyFont="1" applyFill="1" applyBorder="1" applyAlignment="1">
      <alignment horizontal="center" wrapText="1"/>
    </xf>
    <xf numFmtId="0" fontId="107" fillId="6" borderId="22" xfId="0" applyFont="1" applyFill="1" applyBorder="1" applyAlignment="1">
      <alignment horizontal="center" vertical="center" wrapText="1"/>
    </xf>
    <xf numFmtId="0" fontId="107" fillId="6" borderId="33" xfId="0" applyFont="1" applyFill="1" applyBorder="1" applyAlignment="1">
      <alignment horizontal="center" vertical="center" wrapText="1"/>
    </xf>
    <xf numFmtId="2" fontId="107" fillId="6" borderId="22" xfId="0" applyNumberFormat="1" applyFont="1" applyFill="1" applyBorder="1" applyAlignment="1">
      <alignment horizontal="center" vertical="center" wrapText="1"/>
    </xf>
    <xf numFmtId="0" fontId="105" fillId="2" borderId="80" xfId="0" applyFont="1" applyFill="1" applyBorder="1" applyAlignment="1">
      <alignment horizontal="center" vertical="center" wrapText="1"/>
    </xf>
    <xf numFmtId="0" fontId="107" fillId="6" borderId="50" xfId="0" applyFont="1" applyFill="1" applyBorder="1" applyAlignment="1">
      <alignment horizontal="center" wrapText="1"/>
    </xf>
    <xf numFmtId="0" fontId="107" fillId="6" borderId="64" xfId="0" applyFont="1" applyFill="1" applyBorder="1" applyAlignment="1">
      <alignment horizontal="center" vertical="center" wrapText="1"/>
    </xf>
    <xf numFmtId="0" fontId="107" fillId="6" borderId="28" xfId="0" applyFont="1" applyFill="1" applyBorder="1" applyAlignment="1">
      <alignment horizontal="center" vertical="center" wrapText="1"/>
    </xf>
    <xf numFmtId="0" fontId="107" fillId="0" borderId="0" xfId="0" applyFont="1" applyAlignment="1">
      <alignment horizontal="center" vertical="center" wrapText="1"/>
    </xf>
    <xf numFmtId="0" fontId="106" fillId="2" borderId="55" xfId="0" applyFont="1" applyFill="1" applyBorder="1" applyAlignment="1">
      <alignment horizontal="center" vertical="center" wrapText="1"/>
    </xf>
    <xf numFmtId="0" fontId="106" fillId="2" borderId="29" xfId="0" applyFont="1" applyFill="1" applyBorder="1" applyAlignment="1">
      <alignment horizontal="center" vertical="center" wrapText="1"/>
    </xf>
    <xf numFmtId="0" fontId="106" fillId="2" borderId="19" xfId="0" applyFont="1" applyFill="1" applyBorder="1" applyAlignment="1">
      <alignment horizontal="center" vertical="center" wrapText="1"/>
    </xf>
    <xf numFmtId="0" fontId="107" fillId="5" borderId="33" xfId="0" applyFont="1" applyFill="1" applyBorder="1" applyAlignment="1">
      <alignment horizontal="center" vertical="center" wrapText="1"/>
    </xf>
    <xf numFmtId="0" fontId="105" fillId="2" borderId="50" xfId="0" applyFont="1" applyFill="1" applyBorder="1" applyAlignment="1">
      <alignment horizontal="center" vertical="center" wrapText="1"/>
    </xf>
    <xf numFmtId="0" fontId="107" fillId="5" borderId="28" xfId="0" applyFont="1" applyFill="1" applyBorder="1" applyAlignment="1">
      <alignment horizontal="center" vertical="center" wrapText="1"/>
    </xf>
    <xf numFmtId="0" fontId="107" fillId="0" borderId="0" xfId="0" applyFont="1" applyAlignment="1">
      <alignment wrapText="1"/>
    </xf>
    <xf numFmtId="0" fontId="106" fillId="2" borderId="38" xfId="0" applyFont="1" applyFill="1" applyBorder="1" applyAlignment="1">
      <alignment horizontal="center" vertical="center" wrapText="1"/>
    </xf>
    <xf numFmtId="0" fontId="106" fillId="2" borderId="85" xfId="0" applyFont="1" applyFill="1" applyBorder="1" applyAlignment="1">
      <alignment horizontal="center" vertical="center" wrapText="1"/>
    </xf>
    <xf numFmtId="0" fontId="106" fillId="2" borderId="86" xfId="0" applyFont="1" applyFill="1" applyBorder="1" applyAlignment="1">
      <alignment horizontal="center" vertical="center" wrapText="1"/>
    </xf>
    <xf numFmtId="0" fontId="105" fillId="2" borderId="20" xfId="0" applyFont="1" applyFill="1" applyBorder="1" applyAlignment="1">
      <alignment horizontal="center" vertical="center" wrapText="1"/>
    </xf>
    <xf numFmtId="2" fontId="107" fillId="6" borderId="7" xfId="0" applyNumberFormat="1" applyFont="1" applyFill="1" applyBorder="1" applyAlignment="1">
      <alignment horizontal="center" vertical="center" wrapText="1"/>
    </xf>
    <xf numFmtId="2" fontId="107" fillId="6" borderId="33" xfId="0" applyNumberFormat="1" applyFont="1" applyFill="1" applyBorder="1" applyAlignment="1">
      <alignment horizontal="center" vertical="center" wrapText="1"/>
    </xf>
    <xf numFmtId="0" fontId="105" fillId="2" borderId="35" xfId="0" applyFont="1" applyFill="1" applyBorder="1" applyAlignment="1">
      <alignment horizontal="center" vertical="center" wrapText="1"/>
    </xf>
    <xf numFmtId="2" fontId="107" fillId="6" borderId="50" xfId="0" applyNumberFormat="1" applyFont="1" applyFill="1" applyBorder="1" applyAlignment="1">
      <alignment horizontal="center" vertical="center" wrapText="1"/>
    </xf>
    <xf numFmtId="2" fontId="107" fillId="6" borderId="28" xfId="0" applyNumberFormat="1" applyFont="1" applyFill="1" applyBorder="1" applyAlignment="1">
      <alignment horizontal="center" vertical="center" wrapText="1"/>
    </xf>
    <xf numFmtId="0" fontId="106" fillId="2" borderId="37" xfId="0" applyFont="1" applyFill="1" applyBorder="1"/>
    <xf numFmtId="0" fontId="106" fillId="2" borderId="54" xfId="0" applyFont="1" applyFill="1" applyBorder="1" applyAlignment="1">
      <alignment horizontal="center"/>
    </xf>
    <xf numFmtId="0" fontId="105" fillId="2" borderId="20" xfId="0" applyFont="1" applyFill="1" applyBorder="1" applyAlignment="1">
      <alignment horizontal="left" vertical="center" wrapText="1"/>
    </xf>
    <xf numFmtId="172" fontId="107" fillId="6" borderId="7" xfId="7" applyNumberFormat="1" applyFont="1" applyFill="1" applyBorder="1" applyAlignment="1">
      <alignment horizontal="center" vertical="center"/>
    </xf>
    <xf numFmtId="0" fontId="105" fillId="2" borderId="33" xfId="0" applyFont="1" applyFill="1" applyBorder="1" applyAlignment="1">
      <alignment vertical="top" wrapText="1"/>
    </xf>
    <xf numFmtId="0" fontId="105" fillId="2" borderId="40" xfId="0" applyFont="1" applyFill="1" applyBorder="1" applyAlignment="1">
      <alignment horizontal="left" vertical="center" wrapText="1"/>
    </xf>
    <xf numFmtId="172" fontId="107" fillId="6" borderId="54" xfId="7" applyNumberFormat="1" applyFont="1" applyFill="1" applyBorder="1" applyAlignment="1">
      <alignment horizontal="center" vertical="center"/>
    </xf>
    <xf numFmtId="0" fontId="105" fillId="2" borderId="35" xfId="0" applyFont="1" applyFill="1" applyBorder="1" applyAlignment="1">
      <alignment horizontal="left" vertical="center" wrapText="1"/>
    </xf>
    <xf numFmtId="172" fontId="107" fillId="6" borderId="50" xfId="7" applyNumberFormat="1" applyFont="1" applyFill="1" applyBorder="1" applyAlignment="1">
      <alignment horizontal="center" vertical="center"/>
    </xf>
    <xf numFmtId="0" fontId="105" fillId="2" borderId="28" xfId="0" applyFont="1" applyFill="1" applyBorder="1" applyAlignment="1">
      <alignment vertical="top" wrapText="1"/>
    </xf>
    <xf numFmtId="0" fontId="106" fillId="2" borderId="16" xfId="0" applyFont="1" applyFill="1" applyBorder="1" applyAlignment="1">
      <alignment horizontal="center" vertical="center" wrapText="1"/>
    </xf>
    <xf numFmtId="0" fontId="107" fillId="6" borderId="33" xfId="0" applyFont="1" applyFill="1" applyBorder="1" applyAlignment="1">
      <alignment horizontal="center" vertical="center"/>
    </xf>
    <xf numFmtId="0" fontId="105" fillId="2" borderId="20" xfId="0" applyFont="1" applyFill="1" applyBorder="1" applyAlignment="1">
      <alignment horizontal="left" vertical="center"/>
    </xf>
    <xf numFmtId="0" fontId="105" fillId="2" borderId="20" xfId="0" applyFont="1" applyFill="1" applyBorder="1"/>
    <xf numFmtId="2" fontId="107" fillId="6" borderId="33" xfId="0" applyNumberFormat="1" applyFont="1" applyFill="1" applyBorder="1" applyAlignment="1">
      <alignment horizontal="center"/>
    </xf>
    <xf numFmtId="0" fontId="105" fillId="2" borderId="20" xfId="0" applyFont="1" applyFill="1" applyBorder="1" applyAlignment="1">
      <alignment horizontal="left" indent="1"/>
    </xf>
    <xf numFmtId="0" fontId="105" fillId="2" borderId="35" xfId="0" applyFont="1" applyFill="1" applyBorder="1" applyAlignment="1">
      <alignment horizontal="left" indent="1"/>
    </xf>
    <xf numFmtId="2" fontId="107" fillId="6" borderId="28" xfId="0" applyNumberFormat="1" applyFont="1" applyFill="1" applyBorder="1" applyAlignment="1">
      <alignment horizontal="center"/>
    </xf>
    <xf numFmtId="0" fontId="106" fillId="2" borderId="53" xfId="0" applyFont="1" applyFill="1" applyBorder="1" applyAlignment="1">
      <alignment vertical="center" wrapText="1"/>
    </xf>
    <xf numFmtId="0" fontId="116" fillId="3" borderId="49" xfId="0" applyFont="1" applyFill="1" applyBorder="1" applyAlignment="1">
      <alignment horizontal="center" vertical="center" wrapText="1"/>
    </xf>
    <xf numFmtId="0" fontId="107" fillId="6" borderId="66" xfId="0" applyFont="1" applyFill="1" applyBorder="1" applyAlignment="1">
      <alignment horizontal="center" vertical="center" wrapText="1"/>
    </xf>
    <xf numFmtId="0" fontId="107" fillId="6" borderId="68" xfId="0" applyFont="1" applyFill="1" applyBorder="1" applyAlignment="1">
      <alignment horizontal="center" vertical="center" wrapText="1"/>
    </xf>
    <xf numFmtId="0" fontId="107" fillId="6" borderId="48" xfId="0" applyFont="1" applyFill="1" applyBorder="1" applyAlignment="1">
      <alignment horizontal="center" vertical="center" wrapText="1"/>
    </xf>
    <xf numFmtId="2" fontId="107" fillId="5" borderId="7" xfId="0" applyNumberFormat="1" applyFont="1" applyFill="1" applyBorder="1" applyAlignment="1">
      <alignment horizontal="center"/>
    </xf>
    <xf numFmtId="2" fontId="109" fillId="5" borderId="7" xfId="0" applyNumberFormat="1" applyFont="1" applyFill="1" applyBorder="1" applyAlignment="1">
      <alignment horizontal="center"/>
    </xf>
    <xf numFmtId="0" fontId="107" fillId="6" borderId="67" xfId="0" applyFont="1" applyFill="1" applyBorder="1" applyAlignment="1">
      <alignment horizontal="center" vertical="center" wrapText="1"/>
    </xf>
    <xf numFmtId="2" fontId="0" fillId="0" borderId="0" xfId="0" applyNumberFormat="1" applyAlignment="1" applyProtection="1">
      <alignment horizontal="center" vertical="center" wrapText="1"/>
      <protection locked="0"/>
    </xf>
    <xf numFmtId="164" fontId="77" fillId="4" borderId="10" xfId="0" applyNumberFormat="1" applyFont="1" applyFill="1" applyBorder="1" applyAlignment="1" applyProtection="1">
      <alignment horizontal="center"/>
      <protection locked="0"/>
    </xf>
    <xf numFmtId="3" fontId="77" fillId="3" borderId="10" xfId="2" applyNumberFormat="1" applyFont="1" applyFill="1" applyBorder="1" applyAlignment="1" applyProtection="1">
      <alignment horizontal="center" vertical="center"/>
    </xf>
    <xf numFmtId="3" fontId="77" fillId="0" borderId="10" xfId="0" applyNumberFormat="1" applyFont="1" applyBorder="1" applyAlignment="1">
      <alignment horizontal="center" vertical="center"/>
    </xf>
    <xf numFmtId="3" fontId="77" fillId="0" borderId="47" xfId="0" applyNumberFormat="1" applyFont="1" applyBorder="1" applyAlignment="1">
      <alignment horizontal="center" vertical="center"/>
    </xf>
    <xf numFmtId="10" fontId="77" fillId="5" borderId="64" xfId="0" applyNumberFormat="1" applyFont="1" applyFill="1" applyBorder="1" applyAlignment="1">
      <alignment horizontal="center" vertical="center"/>
    </xf>
    <xf numFmtId="1" fontId="77" fillId="5" borderId="22" xfId="0" applyNumberFormat="1" applyFont="1" applyFill="1" applyBorder="1" applyAlignment="1" applyProtection="1">
      <alignment vertical="center"/>
      <protection locked="0"/>
    </xf>
    <xf numFmtId="9" fontId="48" fillId="5" borderId="7" xfId="2" applyFont="1" applyFill="1" applyBorder="1" applyAlignment="1">
      <alignment horizontal="right" vertical="center"/>
    </xf>
    <xf numFmtId="0" fontId="52" fillId="4" borderId="51" xfId="0" applyFont="1" applyFill="1" applyBorder="1" applyAlignment="1" applyProtection="1">
      <alignment horizontal="center" vertical="center" wrapText="1"/>
      <protection locked="0"/>
    </xf>
    <xf numFmtId="0" fontId="47" fillId="2" borderId="30" xfId="0" applyFont="1" applyFill="1" applyBorder="1" applyAlignment="1">
      <alignment horizontal="center" vertical="center" wrapText="1"/>
    </xf>
    <xf numFmtId="172" fontId="48" fillId="4" borderId="33" xfId="0" applyNumberFormat="1" applyFont="1" applyFill="1" applyBorder="1" applyAlignment="1">
      <alignment horizontal="center" vertical="center"/>
    </xf>
    <xf numFmtId="0" fontId="48" fillId="0" borderId="28" xfId="0" applyFont="1" applyBorder="1" applyAlignment="1">
      <alignment horizontal="center" vertical="center"/>
    </xf>
    <xf numFmtId="170" fontId="0" fillId="4" borderId="7" xfId="0" applyNumberFormat="1" applyFill="1" applyBorder="1" applyAlignment="1">
      <alignment vertical="center"/>
    </xf>
    <xf numFmtId="0" fontId="0" fillId="4" borderId="7" xfId="0" applyFill="1" applyBorder="1" applyAlignment="1">
      <alignment horizontal="right" vertical="center"/>
    </xf>
    <xf numFmtId="2" fontId="48" fillId="5" borderId="26" xfId="0" applyNumberFormat="1" applyFont="1" applyFill="1" applyBorder="1" applyAlignment="1">
      <alignment horizontal="center" vertical="center"/>
    </xf>
    <xf numFmtId="2" fontId="48" fillId="5" borderId="42" xfId="0" applyNumberFormat="1" applyFont="1" applyFill="1" applyBorder="1" applyAlignment="1">
      <alignment horizontal="center" vertical="center"/>
    </xf>
    <xf numFmtId="0" fontId="47" fillId="2" borderId="19" xfId="0" applyFont="1" applyFill="1" applyBorder="1" applyAlignment="1" applyProtection="1">
      <alignment horizontal="center" vertical="center" wrapText="1"/>
      <protection locked="0"/>
    </xf>
    <xf numFmtId="0" fontId="47" fillId="2" borderId="26" xfId="0" applyFont="1" applyFill="1" applyBorder="1" applyAlignment="1" applyProtection="1">
      <alignment horizontal="center" vertical="center" wrapText="1"/>
      <protection locked="0"/>
    </xf>
    <xf numFmtId="172" fontId="48" fillId="4" borderId="32" xfId="0" applyNumberFormat="1" applyFont="1" applyFill="1" applyBorder="1" applyAlignment="1">
      <alignment horizontal="center" vertical="center"/>
    </xf>
    <xf numFmtId="0" fontId="48" fillId="0" borderId="80" xfId="0" applyFont="1" applyBorder="1" applyAlignment="1">
      <alignment horizontal="center" vertical="center"/>
    </xf>
    <xf numFmtId="0" fontId="48" fillId="3" borderId="7" xfId="0" applyFont="1" applyFill="1" applyBorder="1"/>
    <xf numFmtId="0" fontId="48" fillId="3" borderId="50" xfId="0" applyFont="1" applyFill="1" applyBorder="1"/>
    <xf numFmtId="3" fontId="31" fillId="5" borderId="7" xfId="0" applyNumberFormat="1" applyFont="1" applyFill="1" applyBorder="1" applyAlignment="1">
      <alignment horizontal="center" vertical="center"/>
    </xf>
    <xf numFmtId="167" fontId="77" fillId="3" borderId="11" xfId="0" applyNumberFormat="1" applyFont="1" applyFill="1" applyBorder="1" applyAlignment="1" applyProtection="1">
      <alignment horizontal="center"/>
      <protection locked="0"/>
    </xf>
    <xf numFmtId="167" fontId="77" fillId="3" borderId="25" xfId="0" applyNumberFormat="1" applyFont="1" applyFill="1" applyBorder="1" applyAlignment="1" applyProtection="1">
      <alignment horizontal="center"/>
      <protection locked="0"/>
    </xf>
    <xf numFmtId="3" fontId="77" fillId="3" borderId="6" xfId="1" applyNumberFormat="1" applyFont="1" applyFill="1" applyBorder="1" applyAlignment="1" applyProtection="1">
      <alignment horizontal="center" vertical="center"/>
    </xf>
    <xf numFmtId="3" fontId="77" fillId="3" borderId="33" xfId="1" applyNumberFormat="1" applyFont="1" applyFill="1" applyBorder="1" applyAlignment="1" applyProtection="1">
      <alignment horizontal="center" vertical="center"/>
    </xf>
    <xf numFmtId="3" fontId="5" fillId="2" borderId="54" xfId="1" applyNumberFormat="1" applyFont="1" applyFill="1" applyBorder="1" applyAlignment="1">
      <alignment vertical="center"/>
    </xf>
    <xf numFmtId="3" fontId="77" fillId="4" borderId="11" xfId="0" applyNumberFormat="1" applyFont="1" applyFill="1" applyBorder="1" applyAlignment="1" applyProtection="1">
      <alignment horizontal="center"/>
      <protection locked="0"/>
    </xf>
    <xf numFmtId="3" fontId="0" fillId="6" borderId="22" xfId="0" applyNumberFormat="1" applyFill="1" applyBorder="1" applyAlignment="1">
      <alignment horizontal="center" vertical="center"/>
    </xf>
    <xf numFmtId="3" fontId="77" fillId="3" borderId="20" xfId="2" applyNumberFormat="1" applyFont="1" applyFill="1" applyBorder="1" applyAlignment="1" applyProtection="1">
      <alignment horizontal="center" vertical="center"/>
    </xf>
    <xf numFmtId="10" fontId="77" fillId="5" borderId="35" xfId="0" applyNumberFormat="1" applyFont="1" applyFill="1" applyBorder="1" applyAlignment="1">
      <alignment horizontal="center" vertical="center"/>
    </xf>
    <xf numFmtId="10" fontId="77" fillId="5" borderId="50" xfId="0" applyNumberFormat="1" applyFont="1" applyFill="1" applyBorder="1" applyAlignment="1">
      <alignment horizontal="center" vertical="center"/>
    </xf>
    <xf numFmtId="0" fontId="52" fillId="0" borderId="35" xfId="0" applyFont="1" applyBorder="1" applyAlignment="1">
      <alignment horizontal="center" vertical="center" wrapText="1"/>
    </xf>
    <xf numFmtId="3" fontId="77" fillId="0" borderId="11" xfId="0" applyNumberFormat="1" applyFont="1" applyBorder="1" applyAlignment="1">
      <alignment horizontal="center" vertical="center"/>
    </xf>
    <xf numFmtId="0" fontId="50" fillId="4" borderId="7" xfId="0" applyFont="1" applyFill="1" applyBorder="1" applyAlignment="1">
      <alignment horizontal="center" vertical="center"/>
    </xf>
    <xf numFmtId="1" fontId="50" fillId="4" borderId="7" xfId="0" applyNumberFormat="1" applyFont="1" applyFill="1" applyBorder="1" applyAlignment="1">
      <alignment horizontal="center" vertical="center"/>
    </xf>
    <xf numFmtId="0" fontId="71" fillId="5" borderId="20" xfId="0" applyFont="1" applyFill="1" applyBorder="1" applyAlignment="1">
      <alignment horizontal="center" vertical="center" wrapText="1"/>
    </xf>
    <xf numFmtId="3" fontId="77" fillId="5" borderId="72" xfId="2" applyNumberFormat="1" applyFont="1" applyFill="1" applyBorder="1" applyAlignment="1" applyProtection="1">
      <alignment horizontal="center"/>
      <protection locked="0"/>
    </xf>
    <xf numFmtId="170" fontId="77" fillId="4" borderId="47" xfId="1" applyNumberFormat="1" applyFont="1" applyFill="1" applyBorder="1" applyAlignment="1" applyProtection="1">
      <alignment horizontal="center"/>
      <protection locked="0"/>
    </xf>
    <xf numFmtId="10" fontId="77" fillId="4" borderId="25" xfId="0" applyNumberFormat="1" applyFont="1" applyFill="1" applyBorder="1" applyAlignment="1" applyProtection="1">
      <alignment horizontal="center"/>
      <protection locked="0"/>
    </xf>
    <xf numFmtId="10" fontId="77" fillId="4" borderId="7" xfId="2" applyNumberFormat="1" applyFont="1" applyFill="1" applyBorder="1" applyAlignment="1" applyProtection="1">
      <alignment horizontal="center"/>
      <protection locked="0"/>
    </xf>
    <xf numFmtId="2" fontId="0" fillId="13" borderId="45" xfId="0" applyNumberFormat="1" applyFill="1" applyBorder="1" applyAlignment="1">
      <alignment horizontal="center"/>
    </xf>
    <xf numFmtId="10" fontId="48" fillId="4" borderId="33" xfId="0" applyNumberFormat="1" applyFont="1" applyFill="1" applyBorder="1" applyAlignment="1">
      <alignment horizontal="center" vertical="center"/>
    </xf>
    <xf numFmtId="3" fontId="77" fillId="4" borderId="24" xfId="2" applyNumberFormat="1" applyFont="1" applyFill="1" applyBorder="1" applyAlignment="1" applyProtection="1">
      <alignment horizontal="center"/>
      <protection locked="0"/>
    </xf>
    <xf numFmtId="3" fontId="77" fillId="6" borderId="4" xfId="0" applyNumberFormat="1" applyFont="1" applyFill="1" applyBorder="1" applyAlignment="1">
      <alignment horizontal="center" vertical="center"/>
    </xf>
    <xf numFmtId="37" fontId="77" fillId="6" borderId="7" xfId="1" applyNumberFormat="1" applyFont="1" applyFill="1" applyBorder="1" applyAlignment="1">
      <alignment horizontal="center" vertical="center"/>
    </xf>
    <xf numFmtId="37" fontId="0" fillId="6" borderId="7" xfId="1" applyNumberFormat="1" applyFont="1" applyFill="1" applyBorder="1" applyAlignment="1">
      <alignment horizontal="center" vertical="center"/>
    </xf>
    <xf numFmtId="39" fontId="0" fillId="6" borderId="7" xfId="1" applyNumberFormat="1" applyFont="1" applyFill="1" applyBorder="1" applyAlignment="1">
      <alignment horizontal="center" vertical="center"/>
    </xf>
    <xf numFmtId="164" fontId="71" fillId="4" borderId="36" xfId="2" applyNumberFormat="1" applyFont="1" applyFill="1" applyBorder="1" applyAlignment="1" applyProtection="1">
      <alignment horizontal="center"/>
      <protection locked="0"/>
    </xf>
    <xf numFmtId="164" fontId="71" fillId="4" borderId="36" xfId="0" applyNumberFormat="1" applyFont="1" applyFill="1" applyBorder="1" applyAlignment="1" applyProtection="1">
      <alignment horizontal="center" vertical="center"/>
      <protection locked="0"/>
    </xf>
    <xf numFmtId="4" fontId="11" fillId="4" borderId="25" xfId="0" applyNumberFormat="1" applyFont="1" applyFill="1" applyBorder="1" applyAlignment="1" applyProtection="1">
      <alignment horizontal="center" vertical="center" wrapText="1"/>
      <protection locked="0"/>
    </xf>
    <xf numFmtId="164" fontId="11" fillId="4" borderId="33" xfId="0" applyNumberFormat="1" applyFont="1" applyFill="1" applyBorder="1" applyAlignment="1" applyProtection="1">
      <alignment horizontal="center" vertical="center" wrapText="1"/>
      <protection locked="0"/>
    </xf>
    <xf numFmtId="0" fontId="27" fillId="5" borderId="7" xfId="0" applyFont="1" applyFill="1" applyBorder="1" applyAlignment="1">
      <alignment vertical="center"/>
    </xf>
    <xf numFmtId="2" fontId="31" fillId="5" borderId="25" xfId="0" applyNumberFormat="1" applyFont="1" applyFill="1" applyBorder="1" applyAlignment="1">
      <alignment horizontal="center" vertical="center"/>
    </xf>
    <xf numFmtId="2" fontId="31" fillId="5" borderId="19" xfId="0" applyNumberFormat="1" applyFont="1" applyFill="1" applyBorder="1" applyAlignment="1">
      <alignment horizontal="center" vertical="center"/>
    </xf>
    <xf numFmtId="2" fontId="31" fillId="5" borderId="34" xfId="0" applyNumberFormat="1" applyFont="1" applyFill="1" applyBorder="1" applyAlignment="1">
      <alignment horizontal="center" vertical="center"/>
    </xf>
    <xf numFmtId="2" fontId="31" fillId="7" borderId="33" xfId="0" applyNumberFormat="1" applyFont="1" applyFill="1" applyBorder="1" applyAlignment="1">
      <alignment horizontal="center" vertical="center"/>
    </xf>
    <xf numFmtId="0" fontId="11" fillId="0" borderId="0" xfId="0" applyFont="1" applyAlignment="1" applyProtection="1">
      <alignment horizontal="left" vertical="top" wrapText="1"/>
      <protection locked="0"/>
    </xf>
    <xf numFmtId="0" fontId="7" fillId="0" borderId="5" xfId="0" applyFont="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47" fillId="2" borderId="29" xfId="0" applyFont="1" applyFill="1" applyBorder="1" applyAlignment="1">
      <alignment horizontal="center" vertical="center" wrapText="1"/>
    </xf>
    <xf numFmtId="0" fontId="48" fillId="5" borderId="7" xfId="0" applyFont="1" applyFill="1" applyBorder="1" applyAlignment="1">
      <alignment horizontal="center" vertical="center"/>
    </xf>
    <xf numFmtId="0" fontId="48" fillId="5" borderId="50" xfId="0" applyFont="1" applyFill="1" applyBorder="1" applyAlignment="1">
      <alignment horizontal="center" vertical="center"/>
    </xf>
    <xf numFmtId="2" fontId="48" fillId="5" borderId="33" xfId="0" applyNumberFormat="1" applyFont="1" applyFill="1" applyBorder="1" applyAlignment="1">
      <alignment horizontal="center" vertical="center"/>
    </xf>
    <xf numFmtId="2" fontId="48" fillId="5" borderId="28" xfId="0" applyNumberFormat="1" applyFont="1" applyFill="1" applyBorder="1" applyAlignment="1">
      <alignment horizontal="center" vertical="center"/>
    </xf>
    <xf numFmtId="0" fontId="45" fillId="2" borderId="60" xfId="0" applyFont="1" applyFill="1" applyBorder="1" applyAlignment="1" applyProtection="1">
      <alignment horizontal="center" vertical="center" wrapText="1"/>
      <protection locked="0"/>
    </xf>
    <xf numFmtId="0" fontId="45" fillId="2" borderId="14" xfId="0" applyFont="1" applyFill="1" applyBorder="1" applyAlignment="1" applyProtection="1">
      <alignment horizontal="center" vertical="center" wrapText="1"/>
      <protection locked="0"/>
    </xf>
    <xf numFmtId="0" fontId="45" fillId="2" borderId="15" xfId="0" applyFont="1" applyFill="1" applyBorder="1" applyAlignment="1" applyProtection="1">
      <alignment horizontal="center" vertical="center" wrapText="1"/>
      <protection locked="0"/>
    </xf>
    <xf numFmtId="0" fontId="47" fillId="2" borderId="49" xfId="0"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26" xfId="0" applyFont="1" applyFill="1" applyBorder="1" applyAlignment="1">
      <alignment horizontal="center" vertical="center"/>
    </xf>
    <xf numFmtId="9" fontId="5" fillId="2" borderId="36" xfId="2" applyFont="1" applyFill="1" applyBorder="1" applyAlignment="1" applyProtection="1">
      <alignment horizontal="left" vertical="top" wrapText="1"/>
      <protection locked="0"/>
    </xf>
    <xf numFmtId="0" fontId="54" fillId="2" borderId="45" xfId="0" applyFont="1" applyFill="1" applyBorder="1" applyAlignment="1">
      <alignment horizontal="left" vertical="center" wrapText="1"/>
    </xf>
    <xf numFmtId="0" fontId="47" fillId="2" borderId="47" xfId="0" applyFont="1" applyFill="1" applyBorder="1" applyAlignment="1" applyProtection="1">
      <alignment horizontal="center" vertical="center" wrapText="1"/>
      <protection locked="0"/>
    </xf>
    <xf numFmtId="0" fontId="7" fillId="0" borderId="9" xfId="0" applyFont="1" applyBorder="1" applyAlignment="1" applyProtection="1">
      <alignment horizontal="center" vertical="center"/>
      <protection locked="0"/>
    </xf>
    <xf numFmtId="0" fontId="7" fillId="0" borderId="10" xfId="0" applyFont="1" applyBorder="1" applyAlignment="1" applyProtection="1">
      <alignment horizontal="center" vertical="center"/>
      <protection locked="0"/>
    </xf>
    <xf numFmtId="0" fontId="7" fillId="0" borderId="11" xfId="0" applyFont="1" applyBorder="1" applyAlignment="1" applyProtection="1">
      <alignment horizontal="center" vertical="center"/>
      <protection locked="0"/>
    </xf>
    <xf numFmtId="0" fontId="7" fillId="0" borderId="2" xfId="0" applyFont="1" applyBorder="1" applyAlignment="1" applyProtection="1">
      <alignment horizontal="center" vertical="center"/>
      <protection locked="0"/>
    </xf>
    <xf numFmtId="0" fontId="7" fillId="0" borderId="3" xfId="0" applyFont="1" applyBorder="1" applyAlignment="1" applyProtection="1">
      <alignment horizontal="center" vertical="center"/>
      <protection locked="0"/>
    </xf>
    <xf numFmtId="0" fontId="7" fillId="0" borderId="4" xfId="0" applyFont="1" applyBorder="1" applyAlignment="1" applyProtection="1">
      <alignment horizontal="center" vertical="center"/>
      <protection locked="0"/>
    </xf>
    <xf numFmtId="0" fontId="10" fillId="0" borderId="5" xfId="0" applyFont="1" applyBorder="1" applyAlignment="1" applyProtection="1">
      <alignment horizontal="center" vertical="center" wrapText="1"/>
      <protection locked="0"/>
    </xf>
    <xf numFmtId="0" fontId="10" fillId="0" borderId="0" xfId="0" applyFont="1" applyAlignment="1" applyProtection="1">
      <alignment horizontal="center" vertical="center" wrapText="1"/>
      <protection locked="0"/>
    </xf>
    <xf numFmtId="0" fontId="10" fillId="0" borderId="6" xfId="0" applyFont="1" applyBorder="1" applyAlignment="1" applyProtection="1">
      <alignment horizontal="center" vertical="center" wrapText="1"/>
      <protection locked="0"/>
    </xf>
    <xf numFmtId="0" fontId="11" fillId="0" borderId="0" xfId="0" applyFont="1" applyAlignment="1" applyProtection="1">
      <alignment horizontal="left" vertical="top" wrapText="1"/>
      <protection locked="0"/>
    </xf>
    <xf numFmtId="0" fontId="7" fillId="0" borderId="5" xfId="0" applyFont="1" applyBorder="1" applyAlignment="1" applyProtection="1">
      <alignment horizontal="center" vertical="center"/>
      <protection locked="0"/>
    </xf>
    <xf numFmtId="0" fontId="7" fillId="0" borderId="6" xfId="0" applyFont="1" applyBorder="1" applyAlignment="1" applyProtection="1">
      <alignment horizontal="center" vertical="center"/>
      <protection locked="0"/>
    </xf>
    <xf numFmtId="0" fontId="8" fillId="0" borderId="8" xfId="0" applyFont="1" applyBorder="1" applyAlignment="1">
      <alignment horizontal="center" vertical="center"/>
    </xf>
    <xf numFmtId="0" fontId="12" fillId="3" borderId="5"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32" fillId="0" borderId="0" xfId="0" applyFont="1" applyAlignment="1">
      <alignment horizontal="left" vertical="center" wrapText="1"/>
    </xf>
    <xf numFmtId="0" fontId="32" fillId="0" borderId="36" xfId="0" applyFont="1" applyBorder="1" applyAlignment="1">
      <alignment horizontal="left" vertical="center" wrapText="1"/>
    </xf>
    <xf numFmtId="0" fontId="32" fillId="0" borderId="13" xfId="0" applyFont="1" applyBorder="1" applyAlignment="1">
      <alignment horizontal="left" vertical="center" wrapText="1"/>
    </xf>
    <xf numFmtId="0" fontId="32" fillId="0" borderId="43" xfId="0" applyFont="1" applyBorder="1" applyAlignment="1">
      <alignment horizontal="left" vertical="center" wrapText="1"/>
    </xf>
    <xf numFmtId="0" fontId="27" fillId="3" borderId="21" xfId="0" applyFont="1" applyFill="1" applyBorder="1" applyAlignment="1">
      <alignment horizontal="center" vertical="center" wrapText="1"/>
    </xf>
    <xf numFmtId="0" fontId="33" fillId="2" borderId="18" xfId="0" applyFont="1" applyFill="1" applyBorder="1" applyAlignment="1">
      <alignment horizontal="center" vertical="center"/>
    </xf>
    <xf numFmtId="0" fontId="33" fillId="2" borderId="31" xfId="0" applyFont="1" applyFill="1" applyBorder="1" applyAlignment="1">
      <alignment horizontal="center" vertical="center"/>
    </xf>
    <xf numFmtId="0" fontId="39" fillId="2" borderId="2" xfId="0" applyFont="1" applyFill="1" applyBorder="1" applyAlignment="1">
      <alignment horizontal="left" vertical="center"/>
    </xf>
    <xf numFmtId="0" fontId="39" fillId="2" borderId="3" xfId="0" applyFont="1" applyFill="1" applyBorder="1" applyAlignment="1">
      <alignment horizontal="left" vertical="center"/>
    </xf>
    <xf numFmtId="0" fontId="39" fillId="2" borderId="41" xfId="0" applyFont="1" applyFill="1" applyBorder="1" applyAlignment="1">
      <alignment horizontal="left" vertical="center"/>
    </xf>
    <xf numFmtId="0" fontId="25" fillId="2" borderId="12"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6" fillId="0" borderId="14" xfId="0" applyFont="1" applyBorder="1" applyAlignment="1">
      <alignment horizontal="center" vertical="center" wrapText="1"/>
    </xf>
    <xf numFmtId="0" fontId="26" fillId="0" borderId="15" xfId="0" applyFont="1" applyBorder="1" applyAlignment="1">
      <alignment horizontal="center" vertical="center" wrapText="1"/>
    </xf>
    <xf numFmtId="0" fontId="28" fillId="2" borderId="17" xfId="0" applyFont="1" applyFill="1" applyBorder="1" applyAlignment="1">
      <alignment horizontal="center" vertical="center"/>
    </xf>
    <xf numFmtId="0" fontId="28" fillId="2" borderId="18" xfId="0" applyFont="1" applyFill="1" applyBorder="1" applyAlignment="1">
      <alignment horizontal="center" vertical="center"/>
    </xf>
    <xf numFmtId="0" fontId="27" fillId="5" borderId="21" xfId="0" applyFont="1" applyFill="1" applyBorder="1" applyAlignment="1">
      <alignment horizontal="left" vertical="center"/>
    </xf>
    <xf numFmtId="0" fontId="27" fillId="3" borderId="21" xfId="0" applyFont="1" applyFill="1" applyBorder="1" applyAlignment="1">
      <alignment horizontal="left" vertical="center" wrapText="1"/>
    </xf>
    <xf numFmtId="0" fontId="45" fillId="2" borderId="44" xfId="0" applyFont="1" applyFill="1" applyBorder="1" applyAlignment="1" applyProtection="1">
      <alignment horizontal="left" vertical="center" wrapText="1"/>
      <protection locked="0"/>
    </xf>
    <xf numFmtId="0" fontId="45" fillId="2" borderId="14" xfId="0" applyFont="1" applyFill="1" applyBorder="1" applyAlignment="1" applyProtection="1">
      <alignment horizontal="left" vertical="center" wrapText="1"/>
      <protection locked="0"/>
    </xf>
    <xf numFmtId="0" fontId="45" fillId="2" borderId="15" xfId="0" applyFont="1" applyFill="1" applyBorder="1" applyAlignment="1" applyProtection="1">
      <alignment horizontal="left" vertical="center" wrapText="1"/>
      <protection locked="0"/>
    </xf>
    <xf numFmtId="0" fontId="47" fillId="2" borderId="29" xfId="0" applyFont="1" applyFill="1" applyBorder="1" applyAlignment="1">
      <alignment horizontal="center" vertical="center" wrapText="1"/>
    </xf>
    <xf numFmtId="0" fontId="47" fillId="2" borderId="29" xfId="0" applyFont="1" applyFill="1" applyBorder="1" applyAlignment="1">
      <alignment horizontal="center" vertical="center"/>
    </xf>
    <xf numFmtId="0" fontId="47" fillId="2" borderId="19" xfId="0" applyFont="1" applyFill="1" applyBorder="1" applyAlignment="1">
      <alignment horizontal="center" vertical="center"/>
    </xf>
    <xf numFmtId="0" fontId="43" fillId="0" borderId="0" xfId="0" applyFont="1" applyAlignment="1">
      <alignment horizontal="center" wrapText="1"/>
    </xf>
    <xf numFmtId="0" fontId="48" fillId="5" borderId="7" xfId="0" applyFont="1" applyFill="1" applyBorder="1" applyAlignment="1">
      <alignment horizontal="center" vertical="center"/>
    </xf>
    <xf numFmtId="0" fontId="48" fillId="5" borderId="50" xfId="0" applyFont="1" applyFill="1" applyBorder="1" applyAlignment="1">
      <alignment horizontal="center" vertical="center"/>
    </xf>
    <xf numFmtId="2" fontId="48" fillId="5" borderId="33" xfId="0" applyNumberFormat="1" applyFont="1" applyFill="1" applyBorder="1" applyAlignment="1">
      <alignment horizontal="center" vertical="center"/>
    </xf>
    <xf numFmtId="2" fontId="48" fillId="5" borderId="28" xfId="0" applyNumberFormat="1" applyFont="1" applyFill="1" applyBorder="1" applyAlignment="1">
      <alignment horizontal="center" vertical="center"/>
    </xf>
    <xf numFmtId="0" fontId="47" fillId="2" borderId="38" xfId="0" applyFont="1" applyFill="1" applyBorder="1" applyAlignment="1">
      <alignment horizontal="center" vertical="center" wrapText="1"/>
    </xf>
    <xf numFmtId="0" fontId="47" fillId="2" borderId="24" xfId="0" applyFont="1" applyFill="1" applyBorder="1" applyAlignment="1">
      <alignment horizontal="center" vertical="center" wrapText="1"/>
    </xf>
    <xf numFmtId="0" fontId="45" fillId="2" borderId="60" xfId="0" applyFont="1" applyFill="1" applyBorder="1" applyAlignment="1" applyProtection="1">
      <alignment horizontal="center" vertical="center" wrapText="1"/>
      <protection locked="0"/>
    </xf>
    <xf numFmtId="0" fontId="45" fillId="2" borderId="14" xfId="0" applyFont="1" applyFill="1" applyBorder="1" applyAlignment="1" applyProtection="1">
      <alignment horizontal="center" vertical="center" wrapText="1"/>
      <protection locked="0"/>
    </xf>
    <xf numFmtId="0" fontId="45" fillId="2" borderId="15" xfId="0" applyFont="1" applyFill="1" applyBorder="1" applyAlignment="1" applyProtection="1">
      <alignment horizontal="center" vertical="center" wrapText="1"/>
      <protection locked="0"/>
    </xf>
    <xf numFmtId="0" fontId="45" fillId="2" borderId="44" xfId="0" applyFont="1" applyFill="1" applyBorder="1" applyAlignment="1" applyProtection="1">
      <alignment horizontal="center" vertical="center" wrapText="1"/>
      <protection locked="0"/>
    </xf>
    <xf numFmtId="0" fontId="47" fillId="2" borderId="49" xfId="0" applyFont="1" applyFill="1" applyBorder="1" applyAlignment="1">
      <alignment horizontal="center" vertical="center" wrapText="1"/>
    </xf>
    <xf numFmtId="0" fontId="47" fillId="2" borderId="67" xfId="0" applyFont="1" applyFill="1" applyBorder="1" applyAlignment="1">
      <alignment horizontal="center" vertical="center" wrapText="1"/>
    </xf>
    <xf numFmtId="0" fontId="45" fillId="2" borderId="44" xfId="0" applyFont="1" applyFill="1" applyBorder="1" applyAlignment="1">
      <alignment horizontal="left" vertical="center"/>
    </xf>
    <xf numFmtId="0" fontId="45" fillId="2" borderId="14" xfId="0" applyFont="1" applyFill="1" applyBorder="1" applyAlignment="1">
      <alignment horizontal="left" vertical="center"/>
    </xf>
    <xf numFmtId="0" fontId="45" fillId="2" borderId="15" xfId="0" applyFont="1" applyFill="1" applyBorder="1" applyAlignment="1">
      <alignment horizontal="left" vertical="center"/>
    </xf>
    <xf numFmtId="0" fontId="47" fillId="2" borderId="40" xfId="0" applyFont="1" applyFill="1" applyBorder="1" applyAlignment="1">
      <alignment horizontal="center" vertical="center" wrapText="1"/>
    </xf>
    <xf numFmtId="0" fontId="47" fillId="2" borderId="46" xfId="0" applyFont="1" applyFill="1" applyBorder="1" applyAlignment="1">
      <alignment horizontal="center" vertical="center"/>
    </xf>
    <xf numFmtId="0" fontId="47" fillId="2" borderId="8" xfId="0"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51" xfId="0" applyFont="1" applyFill="1" applyBorder="1" applyAlignment="1">
      <alignment horizontal="center" vertical="center"/>
    </xf>
    <xf numFmtId="0" fontId="47" fillId="2" borderId="21" xfId="0" applyFont="1" applyFill="1" applyBorder="1" applyAlignment="1">
      <alignment horizontal="center" vertical="center"/>
    </xf>
    <xf numFmtId="0" fontId="47" fillId="2" borderId="26" xfId="0" applyFont="1" applyFill="1" applyBorder="1" applyAlignment="1">
      <alignment horizontal="center" vertical="center"/>
    </xf>
    <xf numFmtId="1" fontId="48" fillId="10" borderId="54" xfId="0" applyNumberFormat="1" applyFont="1" applyFill="1" applyBorder="1" applyAlignment="1">
      <alignment horizontal="center"/>
    </xf>
    <xf numFmtId="1" fontId="48" fillId="10" borderId="8" xfId="0" applyNumberFormat="1" applyFont="1" applyFill="1" applyBorder="1" applyAlignment="1">
      <alignment horizontal="center"/>
    </xf>
    <xf numFmtId="1" fontId="48" fillId="10" borderId="47" xfId="0" applyNumberFormat="1" applyFont="1" applyFill="1" applyBorder="1" applyAlignment="1">
      <alignment horizontal="center"/>
    </xf>
    <xf numFmtId="0" fontId="48" fillId="10" borderId="54" xfId="0" applyFont="1" applyFill="1" applyBorder="1" applyAlignment="1">
      <alignment horizontal="center"/>
    </xf>
    <xf numFmtId="0" fontId="48" fillId="10" borderId="8" xfId="0" applyFont="1" applyFill="1" applyBorder="1" applyAlignment="1">
      <alignment horizontal="center"/>
    </xf>
    <xf numFmtId="0" fontId="48" fillId="10" borderId="47" xfId="0" applyFont="1" applyFill="1" applyBorder="1" applyAlignment="1">
      <alignment horizontal="center"/>
    </xf>
    <xf numFmtId="0" fontId="47" fillId="2" borderId="32" xfId="5" applyFont="1" applyFill="1" applyBorder="1" applyAlignment="1">
      <alignment horizontal="left" vertical="center"/>
    </xf>
    <xf numFmtId="0" fontId="47" fillId="2" borderId="21" xfId="5" applyFont="1" applyFill="1" applyBorder="1" applyAlignment="1">
      <alignment horizontal="left" vertical="center"/>
    </xf>
    <xf numFmtId="0" fontId="47" fillId="2" borderId="26" xfId="5" applyFont="1" applyFill="1" applyBorder="1" applyAlignment="1">
      <alignment horizontal="left" vertical="center"/>
    </xf>
    <xf numFmtId="0" fontId="52" fillId="0" borderId="37" xfId="5" applyFont="1" applyFill="1" applyBorder="1" applyAlignment="1">
      <alignment horizontal="left" vertical="center"/>
    </xf>
    <xf numFmtId="0" fontId="52" fillId="0" borderId="0" xfId="5" applyFont="1" applyFill="1" applyBorder="1" applyAlignment="1">
      <alignment horizontal="left" vertical="center"/>
    </xf>
    <xf numFmtId="0" fontId="52" fillId="0" borderId="36" xfId="5" applyFont="1" applyFill="1" applyBorder="1" applyAlignment="1">
      <alignment horizontal="left" vertical="center"/>
    </xf>
    <xf numFmtId="0" fontId="45" fillId="2" borderId="55" xfId="0" applyFont="1" applyFill="1" applyBorder="1" applyAlignment="1">
      <alignment horizontal="left" vertical="center"/>
    </xf>
    <xf numFmtId="0" fontId="45" fillId="2" borderId="18" xfId="0" applyFont="1" applyFill="1" applyBorder="1" applyAlignment="1">
      <alignment horizontal="left" vertical="center"/>
    </xf>
    <xf numFmtId="0" fontId="45" fillId="2" borderId="31" xfId="0" applyFont="1" applyFill="1" applyBorder="1" applyAlignment="1">
      <alignment horizontal="left" vertical="center"/>
    </xf>
    <xf numFmtId="0" fontId="64" fillId="0" borderId="37" xfId="0" applyFont="1" applyBorder="1" applyAlignment="1">
      <alignment horizontal="left" vertical="top" wrapText="1"/>
    </xf>
    <xf numFmtId="0" fontId="64" fillId="0" borderId="0" xfId="0" applyFont="1" applyAlignment="1">
      <alignment horizontal="left" vertical="top" wrapText="1"/>
    </xf>
    <xf numFmtId="0" fontId="64" fillId="0" borderId="57" xfId="0" applyFont="1" applyBorder="1" applyAlignment="1">
      <alignment horizontal="center" vertical="center" wrapText="1"/>
    </xf>
    <xf numFmtId="0" fontId="64" fillId="0" borderId="3" xfId="0" applyFont="1" applyBorder="1" applyAlignment="1">
      <alignment horizontal="center" vertical="center" wrapText="1"/>
    </xf>
    <xf numFmtId="0" fontId="64" fillId="0" borderId="41" xfId="0" applyFont="1" applyBorder="1" applyAlignment="1">
      <alignment horizontal="center" vertical="center" wrapText="1"/>
    </xf>
    <xf numFmtId="0" fontId="64" fillId="0" borderId="37" xfId="0" applyFont="1" applyBorder="1" applyAlignment="1">
      <alignment horizontal="center" vertical="center" wrapText="1"/>
    </xf>
    <xf numFmtId="0" fontId="64" fillId="0" borderId="0" xfId="0" applyFont="1" applyAlignment="1">
      <alignment horizontal="center" vertical="center" wrapText="1"/>
    </xf>
    <xf numFmtId="0" fontId="64" fillId="0" borderId="36" xfId="0" applyFont="1" applyBorder="1" applyAlignment="1">
      <alignment horizontal="center" vertical="center" wrapText="1"/>
    </xf>
    <xf numFmtId="0" fontId="47" fillId="2" borderId="37" xfId="0" applyFont="1" applyFill="1" applyBorder="1" applyAlignment="1">
      <alignment horizontal="left" vertical="center"/>
    </xf>
    <xf numFmtId="0" fontId="47" fillId="2" borderId="0" xfId="0" applyFont="1" applyFill="1" applyAlignment="1">
      <alignment horizontal="left" vertical="center"/>
    </xf>
    <xf numFmtId="0" fontId="47" fillId="2" borderId="36" xfId="0" applyFont="1" applyFill="1" applyBorder="1" applyAlignment="1">
      <alignment horizontal="left" vertical="center"/>
    </xf>
    <xf numFmtId="0" fontId="4" fillId="0" borderId="0" xfId="0" applyFont="1" applyAlignment="1" applyProtection="1">
      <alignment horizontal="left" vertical="center"/>
      <protection locked="0"/>
    </xf>
    <xf numFmtId="0" fontId="0" fillId="5" borderId="9" xfId="0" applyFill="1" applyBorder="1" applyAlignment="1" applyProtection="1">
      <alignment horizontal="left" vertical="center"/>
      <protection locked="0"/>
    </xf>
    <xf numFmtId="0" fontId="0" fillId="5" borderId="10" xfId="0" applyFill="1" applyBorder="1" applyAlignment="1" applyProtection="1">
      <alignment horizontal="left" vertical="center"/>
      <protection locked="0"/>
    </xf>
    <xf numFmtId="0" fontId="0" fillId="5" borderId="58" xfId="0" applyFill="1" applyBorder="1" applyAlignment="1" applyProtection="1">
      <alignment horizontal="left" vertical="center"/>
      <protection locked="0"/>
    </xf>
    <xf numFmtId="0" fontId="0" fillId="5" borderId="51" xfId="0" applyFill="1" applyBorder="1" applyAlignment="1" applyProtection="1">
      <alignment horizontal="left" vertical="center"/>
      <protection locked="0"/>
    </xf>
    <xf numFmtId="0" fontId="0" fillId="5" borderId="21" xfId="0" applyFill="1" applyBorder="1" applyAlignment="1" applyProtection="1">
      <alignment horizontal="left" vertical="center"/>
      <protection locked="0"/>
    </xf>
    <xf numFmtId="0" fontId="0" fillId="5" borderId="26" xfId="0" applyFill="1" applyBorder="1" applyAlignment="1" applyProtection="1">
      <alignment horizontal="left" vertical="center"/>
      <protection locked="0"/>
    </xf>
    <xf numFmtId="0" fontId="2" fillId="2" borderId="54" xfId="0" applyFont="1" applyFill="1" applyBorder="1" applyAlignment="1">
      <alignment horizontal="center" vertical="center" wrapText="1"/>
    </xf>
    <xf numFmtId="0" fontId="2" fillId="2" borderId="47" xfId="0" applyFont="1" applyFill="1" applyBorder="1" applyAlignment="1">
      <alignment horizontal="center" vertical="center" wrapText="1"/>
    </xf>
    <xf numFmtId="9" fontId="47" fillId="2" borderId="57" xfId="2" applyFont="1" applyFill="1" applyBorder="1" applyAlignment="1" applyProtection="1">
      <alignment horizontal="center" vertical="center" wrapText="1"/>
      <protection locked="0"/>
    </xf>
    <xf numFmtId="9" fontId="47" fillId="2" borderId="41" xfId="2" applyFont="1" applyFill="1" applyBorder="1" applyAlignment="1" applyProtection="1">
      <alignment horizontal="center" vertical="center" wrapText="1"/>
      <protection locked="0"/>
    </xf>
    <xf numFmtId="9" fontId="47" fillId="2" borderId="52" xfId="2" applyFont="1" applyFill="1" applyBorder="1" applyAlignment="1" applyProtection="1">
      <alignment horizontal="center" vertical="center" wrapText="1"/>
      <protection locked="0"/>
    </xf>
    <xf numFmtId="9" fontId="47" fillId="2" borderId="58" xfId="2" applyFont="1" applyFill="1" applyBorder="1" applyAlignment="1" applyProtection="1">
      <alignment horizontal="center" vertical="center" wrapText="1"/>
      <protection locked="0"/>
    </xf>
    <xf numFmtId="37" fontId="71" fillId="5" borderId="80" xfId="1" applyNumberFormat="1" applyFont="1" applyFill="1" applyBorder="1" applyAlignment="1" applyProtection="1">
      <alignment horizontal="center" vertical="center"/>
    </xf>
    <xf numFmtId="37" fontId="71" fillId="5" borderId="42" xfId="1" applyNumberFormat="1" applyFont="1" applyFill="1" applyBorder="1" applyAlignment="1" applyProtection="1">
      <alignment horizontal="center" vertical="center"/>
    </xf>
    <xf numFmtId="1" fontId="54" fillId="5" borderId="61" xfId="0" applyNumberFormat="1" applyFont="1" applyFill="1" applyBorder="1" applyAlignment="1" applyProtection="1">
      <alignment horizontal="center" vertical="center" wrapText="1"/>
      <protection locked="0"/>
    </xf>
    <xf numFmtId="1" fontId="54" fillId="5" borderId="64" xfId="0" applyNumberFormat="1" applyFont="1" applyFill="1" applyBorder="1" applyAlignment="1" applyProtection="1">
      <alignment horizontal="center" vertical="center" wrapText="1"/>
      <protection locked="0"/>
    </xf>
    <xf numFmtId="0" fontId="77" fillId="5" borderId="61" xfId="0" applyFont="1" applyFill="1" applyBorder="1" applyAlignment="1" applyProtection="1">
      <alignment horizontal="left" vertical="center" wrapText="1"/>
      <protection locked="0"/>
    </xf>
    <xf numFmtId="0" fontId="77" fillId="5" borderId="62" xfId="0" applyFont="1" applyFill="1" applyBorder="1" applyAlignment="1" applyProtection="1">
      <alignment horizontal="left" vertical="center" wrapText="1"/>
      <protection locked="0"/>
    </xf>
    <xf numFmtId="0" fontId="77" fillId="5" borderId="42" xfId="0" applyFont="1" applyFill="1" applyBorder="1" applyAlignment="1" applyProtection="1">
      <alignment horizontal="left" vertical="center" wrapText="1"/>
      <protection locked="0"/>
    </xf>
    <xf numFmtId="0" fontId="47" fillId="2" borderId="55" xfId="0" applyFont="1" applyFill="1" applyBorder="1" applyAlignment="1" applyProtection="1">
      <alignment horizontal="center" vertical="center" wrapText="1"/>
      <protection locked="0"/>
    </xf>
    <xf numFmtId="0" fontId="47" fillId="2" borderId="31" xfId="0" applyFont="1" applyFill="1" applyBorder="1" applyAlignment="1" applyProtection="1">
      <alignment horizontal="center" vertical="center" wrapText="1"/>
      <protection locked="0"/>
    </xf>
    <xf numFmtId="0" fontId="47" fillId="2" borderId="18" xfId="0" applyFont="1" applyFill="1" applyBorder="1" applyAlignment="1" applyProtection="1">
      <alignment horizontal="center" vertical="center" wrapText="1"/>
      <protection locked="0"/>
    </xf>
    <xf numFmtId="0" fontId="50" fillId="4" borderId="9" xfId="0" applyFont="1" applyFill="1" applyBorder="1" applyAlignment="1" applyProtection="1">
      <alignment horizontal="center" vertical="center" wrapText="1"/>
      <protection locked="0"/>
    </xf>
    <xf numFmtId="0" fontId="50" fillId="4" borderId="11" xfId="0" applyFont="1" applyFill="1" applyBorder="1" applyAlignment="1" applyProtection="1">
      <alignment horizontal="center" vertical="center" wrapText="1"/>
      <protection locked="0"/>
    </xf>
    <xf numFmtId="0" fontId="50" fillId="4" borderId="17" xfId="0" applyFont="1" applyFill="1" applyBorder="1" applyAlignment="1" applyProtection="1">
      <alignment horizontal="center" vertical="center" wrapText="1"/>
      <protection locked="0"/>
    </xf>
    <xf numFmtId="0" fontId="50" fillId="4" borderId="30" xfId="0" applyFont="1" applyFill="1" applyBorder="1" applyAlignment="1" applyProtection="1">
      <alignment horizontal="center" vertical="center" wrapText="1"/>
      <protection locked="0"/>
    </xf>
    <xf numFmtId="0" fontId="47" fillId="2" borderId="63" xfId="0" applyFont="1" applyFill="1" applyBorder="1" applyAlignment="1" applyProtection="1">
      <alignment horizontal="left" vertical="center" wrapText="1"/>
      <protection locked="0"/>
    </xf>
    <xf numFmtId="0" fontId="47" fillId="2" borderId="1" xfId="0" applyFont="1" applyFill="1" applyBorder="1" applyAlignment="1" applyProtection="1">
      <alignment horizontal="left" vertical="center" wrapText="1"/>
      <protection locked="0"/>
    </xf>
    <xf numFmtId="0" fontId="47" fillId="2" borderId="39" xfId="0" applyFont="1" applyFill="1" applyBorder="1" applyAlignment="1" applyProtection="1">
      <alignment horizontal="left" vertical="center" wrapText="1"/>
      <protection locked="0"/>
    </xf>
    <xf numFmtId="0" fontId="50" fillId="4" borderId="51" xfId="0" applyFont="1" applyFill="1" applyBorder="1" applyAlignment="1" applyProtection="1">
      <alignment horizontal="center" vertical="center" wrapText="1"/>
      <protection locked="0"/>
    </xf>
    <xf numFmtId="0" fontId="50" fillId="4" borderId="22" xfId="0" applyFont="1" applyFill="1" applyBorder="1" applyAlignment="1" applyProtection="1">
      <alignment horizontal="center" vertical="center" wrapText="1"/>
      <protection locked="0"/>
    </xf>
    <xf numFmtId="0" fontId="50" fillId="4" borderId="2" xfId="0" applyFont="1" applyFill="1" applyBorder="1" applyAlignment="1" applyProtection="1">
      <alignment horizontal="center" vertical="center" wrapText="1"/>
      <protection locked="0"/>
    </xf>
    <xf numFmtId="0" fontId="50" fillId="4" borderId="4" xfId="0" applyFont="1" applyFill="1" applyBorder="1" applyAlignment="1" applyProtection="1">
      <alignment horizontal="center" vertical="center" wrapText="1"/>
      <protection locked="0"/>
    </xf>
    <xf numFmtId="0" fontId="54" fillId="4" borderId="7" xfId="0" applyFont="1" applyFill="1" applyBorder="1" applyAlignment="1" applyProtection="1">
      <alignment horizontal="center" vertical="center" wrapText="1"/>
      <protection locked="0"/>
    </xf>
    <xf numFmtId="0" fontId="50" fillId="4" borderId="61" xfId="0" applyFont="1" applyFill="1" applyBorder="1" applyAlignment="1" applyProtection="1">
      <alignment horizontal="center" vertical="center" wrapText="1"/>
      <protection locked="0"/>
    </xf>
    <xf numFmtId="0" fontId="50" fillId="4" borderId="64" xfId="0" applyFont="1" applyFill="1" applyBorder="1" applyAlignment="1" applyProtection="1">
      <alignment horizontal="center" vertical="center" wrapText="1"/>
      <protection locked="0"/>
    </xf>
    <xf numFmtId="0" fontId="70" fillId="0" borderId="0" xfId="0" applyFont="1" applyAlignment="1" applyProtection="1">
      <alignment horizontal="center" vertical="center"/>
      <protection locked="0"/>
    </xf>
    <xf numFmtId="0" fontId="72" fillId="0" borderId="0" xfId="0" applyFont="1" applyAlignment="1" applyProtection="1">
      <alignment horizontal="center" vertical="center" wrapText="1"/>
      <protection locked="0"/>
    </xf>
    <xf numFmtId="49" fontId="52" fillId="4" borderId="5" xfId="0" applyNumberFormat="1" applyFont="1" applyFill="1" applyBorder="1" applyAlignment="1" applyProtection="1">
      <alignment horizontal="left" vertical="center" wrapText="1"/>
      <protection locked="0"/>
    </xf>
    <xf numFmtId="49" fontId="52" fillId="4" borderId="0" xfId="0" applyNumberFormat="1" applyFont="1" applyFill="1" applyAlignment="1" applyProtection="1">
      <alignment horizontal="left" vertical="center" wrapText="1"/>
      <protection locked="0"/>
    </xf>
    <xf numFmtId="49" fontId="52" fillId="4" borderId="36" xfId="0" applyNumberFormat="1" applyFont="1" applyFill="1" applyBorder="1" applyAlignment="1" applyProtection="1">
      <alignment horizontal="left" vertical="center" wrapText="1"/>
      <protection locked="0"/>
    </xf>
    <xf numFmtId="49" fontId="52" fillId="4" borderId="65" xfId="0" applyNumberFormat="1" applyFont="1" applyFill="1" applyBorder="1" applyAlignment="1" applyProtection="1">
      <alignment horizontal="left" vertical="center" wrapText="1"/>
      <protection locked="0"/>
    </xf>
    <xf numFmtId="49" fontId="52" fillId="4" borderId="13" xfId="0" applyNumberFormat="1" applyFont="1" applyFill="1" applyBorder="1" applyAlignment="1" applyProtection="1">
      <alignment horizontal="left" vertical="center" wrapText="1"/>
      <protection locked="0"/>
    </xf>
    <xf numFmtId="49" fontId="52" fillId="4" borderId="43" xfId="0" applyNumberFormat="1" applyFont="1" applyFill="1" applyBorder="1" applyAlignment="1" applyProtection="1">
      <alignment horizontal="left" vertical="center" wrapText="1"/>
      <protection locked="0"/>
    </xf>
    <xf numFmtId="0" fontId="47" fillId="2" borderId="54" xfId="0" applyFont="1" applyFill="1" applyBorder="1" applyAlignment="1" applyProtection="1">
      <alignment horizontal="center" vertical="center" wrapText="1"/>
      <protection locked="0"/>
    </xf>
    <xf numFmtId="0" fontId="47" fillId="2" borderId="47" xfId="0" applyFont="1" applyFill="1" applyBorder="1" applyAlignment="1" applyProtection="1">
      <alignment horizontal="center" vertical="center" wrapText="1"/>
      <protection locked="0"/>
    </xf>
    <xf numFmtId="0" fontId="54" fillId="5" borderId="2" xfId="0" applyFont="1" applyFill="1" applyBorder="1" applyAlignment="1" applyProtection="1">
      <alignment horizontal="center" vertical="center" wrapText="1"/>
      <protection locked="0"/>
    </xf>
    <xf numFmtId="0" fontId="54" fillId="5" borderId="4" xfId="0" applyFont="1" applyFill="1" applyBorder="1" applyAlignment="1" applyProtection="1">
      <alignment horizontal="center" vertical="center" wrapText="1"/>
      <protection locked="0"/>
    </xf>
    <xf numFmtId="0" fontId="54" fillId="5" borderId="9" xfId="0" applyFont="1" applyFill="1" applyBorder="1" applyAlignment="1" applyProtection="1">
      <alignment horizontal="center" vertical="center" wrapText="1"/>
      <protection locked="0"/>
    </xf>
    <xf numFmtId="0" fontId="54" fillId="5" borderId="11" xfId="0" applyFont="1" applyFill="1" applyBorder="1" applyAlignment="1" applyProtection="1">
      <alignment horizontal="center" vertical="center" wrapText="1"/>
      <protection locked="0"/>
    </xf>
    <xf numFmtId="0" fontId="52" fillId="0" borderId="14" xfId="0" applyFont="1" applyBorder="1" applyAlignment="1" applyProtection="1">
      <alignment horizontal="center" vertical="center" wrapText="1"/>
      <protection locked="0"/>
    </xf>
    <xf numFmtId="0" fontId="55" fillId="0" borderId="14" xfId="0" applyFont="1" applyBorder="1" applyAlignment="1" applyProtection="1">
      <alignment horizontal="center" vertical="center" wrapText="1"/>
      <protection locked="0"/>
    </xf>
    <xf numFmtId="0" fontId="47" fillId="2" borderId="55" xfId="0" applyFont="1" applyFill="1" applyBorder="1" applyAlignment="1" applyProtection="1">
      <alignment horizontal="center" vertical="center"/>
      <protection locked="0"/>
    </xf>
    <xf numFmtId="0" fontId="47" fillId="2" borderId="18" xfId="0" applyFont="1" applyFill="1" applyBorder="1" applyAlignment="1" applyProtection="1">
      <alignment horizontal="center" vertical="center"/>
      <protection locked="0"/>
    </xf>
    <xf numFmtId="0" fontId="47" fillId="2" borderId="31" xfId="0" applyFont="1" applyFill="1" applyBorder="1" applyAlignment="1" applyProtection="1">
      <alignment horizontal="center" vertical="center"/>
      <protection locked="0"/>
    </xf>
    <xf numFmtId="0" fontId="79" fillId="2" borderId="40" xfId="0" applyFont="1" applyFill="1" applyBorder="1" applyAlignment="1" applyProtection="1">
      <alignment horizontal="left" vertical="center" wrapText="1"/>
      <protection locked="0"/>
    </xf>
    <xf numFmtId="0" fontId="79" fillId="2" borderId="24" xfId="0" applyFont="1" applyFill="1" applyBorder="1" applyAlignment="1" applyProtection="1">
      <alignment horizontal="left" vertical="center" wrapText="1"/>
      <protection locked="0"/>
    </xf>
    <xf numFmtId="0" fontId="11" fillId="4" borderId="41" xfId="0" applyFont="1" applyFill="1" applyBorder="1" applyAlignment="1" applyProtection="1">
      <alignment horizontal="center" vertical="center" wrapText="1"/>
      <protection locked="0"/>
    </xf>
    <xf numFmtId="0" fontId="11" fillId="4" borderId="58" xfId="0" applyFont="1" applyFill="1" applyBorder="1" applyAlignment="1" applyProtection="1">
      <alignment horizontal="center" vertical="center" wrapText="1"/>
      <protection locked="0"/>
    </xf>
    <xf numFmtId="9" fontId="5" fillId="2" borderId="36" xfId="2" applyFont="1" applyFill="1" applyBorder="1" applyAlignment="1" applyProtection="1">
      <alignment horizontal="left" vertical="top" wrapText="1"/>
      <protection locked="0"/>
    </xf>
    <xf numFmtId="0" fontId="2" fillId="2" borderId="40" xfId="0" applyFont="1" applyFill="1" applyBorder="1" applyAlignment="1">
      <alignment horizontal="center" vertical="center"/>
    </xf>
    <xf numFmtId="0" fontId="2" fillId="2" borderId="24" xfId="0" applyFont="1" applyFill="1" applyBorder="1" applyAlignment="1">
      <alignment horizontal="center" vertical="center"/>
    </xf>
    <xf numFmtId="0" fontId="2" fillId="2" borderId="54" xfId="0" applyFont="1" applyFill="1" applyBorder="1" applyAlignment="1">
      <alignment horizontal="left" vertical="center" wrapText="1"/>
    </xf>
    <xf numFmtId="0" fontId="2" fillId="2" borderId="47" xfId="0" applyFont="1" applyFill="1" applyBorder="1" applyAlignment="1">
      <alignment horizontal="left" vertical="center" wrapText="1"/>
    </xf>
    <xf numFmtId="0" fontId="54" fillId="2" borderId="45" xfId="0" applyFont="1" applyFill="1" applyBorder="1" applyAlignment="1">
      <alignment horizontal="left" vertical="center" wrapText="1"/>
    </xf>
    <xf numFmtId="0" fontId="79" fillId="2" borderId="27" xfId="0" applyFont="1" applyFill="1" applyBorder="1" applyAlignment="1" applyProtection="1">
      <alignment horizontal="left" vertical="center" wrapText="1"/>
      <protection locked="0"/>
    </xf>
    <xf numFmtId="0" fontId="11" fillId="5" borderId="41" xfId="0" applyFont="1" applyFill="1" applyBorder="1" applyAlignment="1" applyProtection="1">
      <alignment horizontal="center" vertical="center" wrapText="1"/>
      <protection locked="0"/>
    </xf>
    <xf numFmtId="0" fontId="11" fillId="5" borderId="43" xfId="0" applyFont="1" applyFill="1" applyBorder="1" applyAlignment="1" applyProtection="1">
      <alignment horizontal="center" vertical="center" wrapText="1"/>
      <protection locked="0"/>
    </xf>
    <xf numFmtId="9" fontId="5" fillId="2" borderId="41" xfId="2" applyFont="1" applyFill="1" applyBorder="1" applyAlignment="1" applyProtection="1">
      <alignment horizontal="left" vertical="center" wrapText="1"/>
      <protection locked="0"/>
    </xf>
    <xf numFmtId="9" fontId="5" fillId="2" borderId="36" xfId="2" applyFont="1" applyFill="1" applyBorder="1" applyAlignment="1" applyProtection="1">
      <alignment horizontal="left" vertical="center" wrapText="1"/>
      <protection locked="0"/>
    </xf>
    <xf numFmtId="0" fontId="2" fillId="2" borderId="8" xfId="0" applyFont="1" applyFill="1" applyBorder="1" applyAlignment="1">
      <alignment horizontal="left" vertical="center" wrapText="1"/>
    </xf>
    <xf numFmtId="0" fontId="2" fillId="2" borderId="51" xfId="0" applyFont="1" applyFill="1" applyBorder="1" applyAlignment="1">
      <alignment horizontal="center" vertical="center" wrapText="1"/>
    </xf>
    <xf numFmtId="0" fontId="2" fillId="2" borderId="21" xfId="0" applyFont="1" applyFill="1" applyBorder="1" applyAlignment="1">
      <alignment horizontal="center" vertical="center" wrapText="1"/>
    </xf>
    <xf numFmtId="0" fontId="2" fillId="2" borderId="22" xfId="0" applyFont="1" applyFill="1" applyBorder="1" applyAlignment="1">
      <alignment horizontal="center" vertical="center" wrapText="1"/>
    </xf>
    <xf numFmtId="3" fontId="47" fillId="2" borderId="32" xfId="1" applyNumberFormat="1" applyFont="1" applyFill="1" applyBorder="1" applyAlignment="1" applyProtection="1">
      <alignment horizontal="center" vertical="center"/>
    </xf>
    <xf numFmtId="3" fontId="47" fillId="2" borderId="26" xfId="1" applyNumberFormat="1" applyFont="1" applyFill="1" applyBorder="1" applyAlignment="1" applyProtection="1">
      <alignment horizontal="center" vertical="center"/>
    </xf>
    <xf numFmtId="10" fontId="71" fillId="5" borderId="32" xfId="0" applyNumberFormat="1" applyFont="1" applyFill="1" applyBorder="1" applyAlignment="1">
      <alignment horizontal="center" vertical="center" wrapText="1"/>
    </xf>
    <xf numFmtId="10" fontId="71" fillId="5" borderId="26" xfId="0" applyNumberFormat="1" applyFont="1" applyFill="1" applyBorder="1" applyAlignment="1">
      <alignment horizontal="center" vertical="center" wrapText="1"/>
    </xf>
    <xf numFmtId="0" fontId="2" fillId="2" borderId="4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12" xfId="0" applyFont="1" applyFill="1" applyBorder="1" applyAlignment="1">
      <alignment horizontal="center" vertical="center"/>
    </xf>
    <xf numFmtId="0" fontId="5" fillId="2" borderId="51" xfId="0" applyFont="1" applyFill="1" applyBorder="1" applyAlignment="1">
      <alignment horizontal="left" vertical="center" wrapText="1"/>
    </xf>
    <xf numFmtId="0" fontId="5" fillId="2" borderId="22" xfId="0" applyFont="1" applyFill="1" applyBorder="1" applyAlignment="1">
      <alignment horizontal="left" vertical="center" wrapText="1"/>
    </xf>
    <xf numFmtId="0" fontId="2" fillId="2" borderId="2" xfId="0" applyFont="1" applyFill="1" applyBorder="1" applyAlignment="1">
      <alignment horizontal="left" vertical="center" wrapText="1"/>
    </xf>
    <xf numFmtId="0" fontId="2" fillId="2" borderId="5" xfId="0" applyFont="1" applyFill="1" applyBorder="1" applyAlignment="1">
      <alignment horizontal="left" vertical="center" wrapText="1"/>
    </xf>
    <xf numFmtId="0" fontId="2" fillId="2" borderId="9" xfId="0" applyFont="1" applyFill="1" applyBorder="1" applyAlignment="1">
      <alignment horizontal="left" vertical="center" wrapText="1"/>
    </xf>
    <xf numFmtId="3" fontId="77" fillId="5" borderId="54" xfId="0" applyNumberFormat="1" applyFont="1" applyFill="1" applyBorder="1" applyAlignment="1">
      <alignment horizontal="center" vertical="center"/>
    </xf>
    <xf numFmtId="3" fontId="77" fillId="5" borderId="47" xfId="0" applyNumberFormat="1" applyFont="1" applyFill="1" applyBorder="1" applyAlignment="1">
      <alignment horizontal="center" vertical="center"/>
    </xf>
    <xf numFmtId="0" fontId="5" fillId="2" borderId="2" xfId="0" applyFont="1" applyFill="1" applyBorder="1" applyAlignment="1">
      <alignment horizontal="right" vertical="center" wrapText="1"/>
    </xf>
    <xf numFmtId="0" fontId="5" fillId="2" borderId="4" xfId="0" applyFont="1" applyFill="1" applyBorder="1" applyAlignment="1">
      <alignment horizontal="right" vertical="center" wrapText="1"/>
    </xf>
    <xf numFmtId="0" fontId="5" fillId="2" borderId="9" xfId="0" applyFont="1" applyFill="1" applyBorder="1" applyAlignment="1">
      <alignment horizontal="right" vertical="center" wrapText="1"/>
    </xf>
    <xf numFmtId="0" fontId="5" fillId="2" borderId="11" xfId="0" applyFont="1" applyFill="1" applyBorder="1" applyAlignment="1">
      <alignment horizontal="right" vertical="center" wrapText="1"/>
    </xf>
    <xf numFmtId="0" fontId="5" fillId="2" borderId="54" xfId="0" applyFont="1" applyFill="1" applyBorder="1" applyAlignment="1">
      <alignment horizontal="center" vertical="center" wrapText="1"/>
    </xf>
    <xf numFmtId="0" fontId="5" fillId="2" borderId="47" xfId="0" applyFont="1" applyFill="1" applyBorder="1" applyAlignment="1">
      <alignment horizontal="center" vertical="center" wrapText="1"/>
    </xf>
    <xf numFmtId="37" fontId="77" fillId="5" borderId="54" xfId="0" applyNumberFormat="1" applyFont="1" applyFill="1" applyBorder="1" applyAlignment="1" applyProtection="1">
      <alignment horizontal="right" vertical="center"/>
      <protection locked="0"/>
    </xf>
    <xf numFmtId="37" fontId="77" fillId="5" borderId="47" xfId="0" applyNumberFormat="1" applyFont="1" applyFill="1" applyBorder="1" applyAlignment="1" applyProtection="1">
      <alignment horizontal="right" vertical="center"/>
      <protection locked="0"/>
    </xf>
    <xf numFmtId="2" fontId="71" fillId="6" borderId="34" xfId="0" applyNumberFormat="1" applyFont="1" applyFill="1" applyBorder="1" applyAlignment="1">
      <alignment horizontal="center" vertical="center"/>
    </xf>
    <xf numFmtId="2" fontId="71" fillId="6" borderId="25" xfId="0" applyNumberFormat="1" applyFont="1" applyFill="1" applyBorder="1" applyAlignment="1">
      <alignment horizontal="center" vertical="center"/>
    </xf>
    <xf numFmtId="1" fontId="71" fillId="5" borderId="54" xfId="0" applyNumberFormat="1" applyFont="1" applyFill="1" applyBorder="1" applyAlignment="1" applyProtection="1">
      <alignment horizontal="right" vertical="center"/>
      <protection locked="0"/>
    </xf>
    <xf numFmtId="1" fontId="71" fillId="5" borderId="47" xfId="0" applyNumberFormat="1" applyFont="1" applyFill="1" applyBorder="1" applyAlignment="1" applyProtection="1">
      <alignment horizontal="right" vertical="center"/>
      <protection locked="0"/>
    </xf>
    <xf numFmtId="2" fontId="71" fillId="5" borderId="34" xfId="0" applyNumberFormat="1" applyFont="1" applyFill="1" applyBorder="1" applyAlignment="1">
      <alignment horizontal="center" vertical="center"/>
    </xf>
    <xf numFmtId="2" fontId="71" fillId="5" borderId="25" xfId="0" applyNumberFormat="1" applyFont="1" applyFill="1" applyBorder="1" applyAlignment="1">
      <alignment horizontal="center" vertical="center"/>
    </xf>
    <xf numFmtId="0" fontId="2" fillId="2" borderId="2" xfId="0" applyFont="1" applyFill="1" applyBorder="1" applyAlignment="1">
      <alignment horizontal="right" vertical="center" wrapText="1"/>
    </xf>
    <xf numFmtId="0" fontId="2" fillId="2" borderId="3" xfId="0" applyFont="1" applyFill="1" applyBorder="1" applyAlignment="1">
      <alignment horizontal="right" vertical="center" wrapText="1"/>
    </xf>
    <xf numFmtId="0" fontId="2" fillId="2" borderId="4" xfId="0" applyFont="1" applyFill="1" applyBorder="1" applyAlignment="1">
      <alignment horizontal="right" vertical="center" wrapText="1"/>
    </xf>
    <xf numFmtId="0" fontId="2" fillId="2" borderId="5" xfId="0" applyFont="1" applyFill="1" applyBorder="1" applyAlignment="1">
      <alignment horizontal="right" vertical="center" wrapText="1"/>
    </xf>
    <xf numFmtId="0" fontId="2" fillId="2" borderId="0" xfId="0" applyFont="1" applyFill="1" applyAlignment="1">
      <alignment horizontal="right" vertical="center" wrapText="1"/>
    </xf>
    <xf numFmtId="0" fontId="2" fillId="2" borderId="6" xfId="0" applyFont="1" applyFill="1" applyBorder="1" applyAlignment="1">
      <alignment horizontal="right" vertical="center" wrapText="1"/>
    </xf>
    <xf numFmtId="0" fontId="8" fillId="2" borderId="0" xfId="0" applyFont="1" applyFill="1" applyAlignment="1">
      <alignment horizontal="center" vertical="center"/>
    </xf>
    <xf numFmtId="0" fontId="2" fillId="2" borderId="10" xfId="0" applyFont="1" applyFill="1" applyBorder="1" applyAlignment="1">
      <alignment horizontal="left" vertical="center"/>
    </xf>
    <xf numFmtId="0" fontId="0" fillId="2" borderId="54" xfId="0" applyFill="1" applyBorder="1" applyAlignment="1">
      <alignment horizontal="center" vertical="center"/>
    </xf>
    <xf numFmtId="0" fontId="0" fillId="2" borderId="47" xfId="0" applyFill="1" applyBorder="1" applyAlignment="1">
      <alignment horizontal="center" vertical="center"/>
    </xf>
    <xf numFmtId="0" fontId="5" fillId="2" borderId="8" xfId="0" applyFont="1" applyFill="1" applyBorder="1" applyAlignment="1">
      <alignment horizontal="center" vertical="center" wrapText="1"/>
    </xf>
    <xf numFmtId="3" fontId="5" fillId="2" borderId="54" xfId="1" applyNumberFormat="1" applyFont="1" applyFill="1" applyBorder="1" applyAlignment="1">
      <alignment horizontal="center" vertical="center"/>
    </xf>
    <xf numFmtId="3" fontId="5" fillId="2" borderId="8" xfId="1" applyNumberFormat="1" applyFont="1" applyFill="1" applyBorder="1" applyAlignment="1">
      <alignment horizontal="center" vertical="center"/>
    </xf>
    <xf numFmtId="3" fontId="5" fillId="2" borderId="7" xfId="1" applyNumberFormat="1" applyFont="1" applyFill="1" applyBorder="1" applyAlignment="1">
      <alignment horizontal="center" vertical="center"/>
    </xf>
    <xf numFmtId="0" fontId="5" fillId="2" borderId="54"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47" xfId="0" applyFont="1" applyFill="1" applyBorder="1" applyAlignment="1">
      <alignment horizontal="center" vertical="center"/>
    </xf>
    <xf numFmtId="0" fontId="115" fillId="2" borderId="0" xfId="0" applyFont="1" applyFill="1" applyAlignment="1">
      <alignment horizontal="left" vertical="center" wrapText="1"/>
    </xf>
    <xf numFmtId="0" fontId="105" fillId="2" borderId="40" xfId="0" applyFont="1" applyFill="1" applyBorder="1" applyAlignment="1">
      <alignment horizontal="center" vertical="center" wrapText="1"/>
    </xf>
    <xf numFmtId="0" fontId="105" fillId="2" borderId="24" xfId="0" applyFont="1" applyFill="1" applyBorder="1" applyAlignment="1">
      <alignment horizontal="center" vertical="center" wrapText="1"/>
    </xf>
    <xf numFmtId="0" fontId="114" fillId="2" borderId="55" xfId="0" applyFont="1" applyFill="1" applyBorder="1" applyAlignment="1">
      <alignment horizontal="center"/>
    </xf>
    <xf numFmtId="0" fontId="114" fillId="2" borderId="18" xfId="0" applyFont="1" applyFill="1" applyBorder="1" applyAlignment="1">
      <alignment horizontal="center"/>
    </xf>
    <xf numFmtId="0" fontId="114" fillId="2" borderId="31" xfId="0" applyFont="1" applyFill="1" applyBorder="1" applyAlignment="1">
      <alignment horizontal="center"/>
    </xf>
    <xf numFmtId="0" fontId="106" fillId="2" borderId="47" xfId="0" applyFont="1" applyFill="1" applyBorder="1" applyAlignment="1">
      <alignment horizontal="center"/>
    </xf>
    <xf numFmtId="0" fontId="106" fillId="2" borderId="25" xfId="0" applyFont="1" applyFill="1" applyBorder="1" applyAlignment="1">
      <alignment horizontal="center"/>
    </xf>
    <xf numFmtId="0" fontId="106" fillId="2" borderId="34" xfId="0" applyFont="1" applyFill="1" applyBorder="1" applyAlignment="1">
      <alignment horizontal="center" vertical="center"/>
    </xf>
    <xf numFmtId="0" fontId="106" fillId="2" borderId="25" xfId="0" applyFont="1" applyFill="1" applyBorder="1" applyAlignment="1">
      <alignment horizontal="center" vertical="center"/>
    </xf>
    <xf numFmtId="0" fontId="122" fillId="0" borderId="0" xfId="0" applyFont="1" applyAlignment="1" applyProtection="1">
      <alignment horizontal="left" vertical="top" wrapText="1"/>
      <protection locked="0"/>
    </xf>
  </cellXfs>
  <cellStyles count="8">
    <cellStyle name="Accent3 3" xfId="5" xr:uid="{D03C5D15-FEEE-4C8A-AFFD-6FE3F76F2E0A}"/>
    <cellStyle name="Comma" xfId="1" builtinId="3"/>
    <cellStyle name="Explanatory Text 2" xfId="6" xr:uid="{8EDE7EC3-4D3B-4024-AC41-C1FF6BA1A932}"/>
    <cellStyle name="Hyperlink" xfId="3" builtinId="8"/>
    <cellStyle name="Normal" xfId="0" builtinId="0"/>
    <cellStyle name="Output 11 2 2" xfId="4" xr:uid="{64E4887A-1830-4FB2-B757-3A532BF492B9}"/>
    <cellStyle name="Percent" xfId="2" builtinId="5"/>
    <cellStyle name="Percent 2" xfId="7" xr:uid="{2780F675-BA4B-4D7E-843C-09CFF9D92C10}"/>
  </cellStyles>
  <dxfs count="1">
    <dxf>
      <font>
        <color theme="0"/>
      </font>
      <fill>
        <patternFill>
          <bgColor theme="0"/>
        </patternFill>
      </fill>
    </dxf>
  </dxfs>
  <tableStyles count="0" defaultTableStyle="TableStyleMedium2" defaultPivotStyle="PivotStyleLight16"/>
  <colors>
    <mruColors>
      <color rgb="FF1B8ABF"/>
      <color rgb="FFDFDFE1"/>
      <color rgb="FFB5E0E1"/>
      <color rgb="FFFFFFCC"/>
      <color rgb="FFB5E0F5"/>
      <color rgb="FFFFFFFF"/>
      <color rgb="FFDFDFFF"/>
      <color rgb="FFE1E1CC"/>
      <color rgb="FFE26B0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4</xdr:col>
      <xdr:colOff>587775</xdr:colOff>
      <xdr:row>1</xdr:row>
      <xdr:rowOff>225812</xdr:rowOff>
    </xdr:from>
    <xdr:to>
      <xdr:col>5</xdr:col>
      <xdr:colOff>1143123</xdr:colOff>
      <xdr:row>1</xdr:row>
      <xdr:rowOff>1304345</xdr:rowOff>
    </xdr:to>
    <xdr:pic>
      <xdr:nvPicPr>
        <xdr:cNvPr id="2" name="Picture 1">
          <a:extLst>
            <a:ext uri="{FF2B5EF4-FFF2-40B4-BE49-F238E27FC236}">
              <a16:creationId xmlns:a16="http://schemas.microsoft.com/office/drawing/2014/main" id="{9B637AAD-2CEA-4693-9AB9-4A739A800006}"/>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1764" t="12544" r="12413" b="12074"/>
        <a:stretch/>
      </xdr:blipFill>
      <xdr:spPr bwMode="auto">
        <a:xfrm>
          <a:off x="6988575" y="482987"/>
          <a:ext cx="1517373" cy="1078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562428</xdr:colOff>
      <xdr:row>92</xdr:row>
      <xdr:rowOff>36285</xdr:rowOff>
    </xdr:from>
    <xdr:to>
      <xdr:col>1</xdr:col>
      <xdr:colOff>2249714</xdr:colOff>
      <xdr:row>92</xdr:row>
      <xdr:rowOff>571499</xdr:rowOff>
    </xdr:to>
    <xdr:sp macro="[0]!Calculate_Click" textlink="">
      <xdr:nvSpPr>
        <xdr:cNvPr id="4" name="Rectangle: Rounded Corners 3">
          <a:extLst>
            <a:ext uri="{FF2B5EF4-FFF2-40B4-BE49-F238E27FC236}">
              <a16:creationId xmlns:a16="http://schemas.microsoft.com/office/drawing/2014/main" id="{C22622D1-E118-4ABD-865E-57ABAB8554F8}"/>
            </a:ext>
          </a:extLst>
        </xdr:cNvPr>
        <xdr:cNvSpPr/>
      </xdr:nvSpPr>
      <xdr:spPr>
        <a:xfrm>
          <a:off x="873578" y="24753660"/>
          <a:ext cx="1690461" cy="535214"/>
        </a:xfrm>
        <a:prstGeom prst="roundRect">
          <a:avLst/>
        </a:prstGeom>
        <a:solidFill>
          <a:schemeClr val="accent6">
            <a:lumMod val="60000"/>
            <a:lumOff val="40000"/>
          </a:schemeClr>
        </a:solidFill>
        <a:ln w="12700">
          <a:solidFill>
            <a:schemeClr val="tx1"/>
          </a:solidFill>
        </a:ln>
        <a:scene3d>
          <a:camera prst="orthographicFront"/>
          <a:lightRig rig="threePt" dir="t"/>
        </a:scene3d>
        <a:sp3d>
          <a:bevelT w="139700" prst="cross"/>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b="1">
              <a:solidFill>
                <a:srgbClr val="C00000"/>
              </a:solidFill>
            </a:rPr>
            <a:t>Calculate</a:t>
          </a:r>
        </a:p>
      </xdr:txBody>
    </xdr:sp>
    <xdr:clientData/>
  </xdr:twoCellAnchor>
  <xdr:twoCellAnchor>
    <xdr:from>
      <xdr:col>1</xdr:col>
      <xdr:colOff>492578</xdr:colOff>
      <xdr:row>25</xdr:row>
      <xdr:rowOff>48985</xdr:rowOff>
    </xdr:from>
    <xdr:to>
      <xdr:col>1</xdr:col>
      <xdr:colOff>2179864</xdr:colOff>
      <xdr:row>27</xdr:row>
      <xdr:rowOff>161099</xdr:rowOff>
    </xdr:to>
    <xdr:sp macro="[0]!Calculate_Click" textlink="">
      <xdr:nvSpPr>
        <xdr:cNvPr id="6" name="Rectangle: Rounded Corners 5">
          <a:extLst>
            <a:ext uri="{FF2B5EF4-FFF2-40B4-BE49-F238E27FC236}">
              <a16:creationId xmlns:a16="http://schemas.microsoft.com/office/drawing/2014/main" id="{0674646A-358B-4526-BDF4-176292BCA505}"/>
            </a:ext>
          </a:extLst>
        </xdr:cNvPr>
        <xdr:cNvSpPr/>
      </xdr:nvSpPr>
      <xdr:spPr>
        <a:xfrm>
          <a:off x="805542" y="7723414"/>
          <a:ext cx="1687286" cy="520328"/>
        </a:xfrm>
        <a:prstGeom prst="roundRect">
          <a:avLst/>
        </a:prstGeom>
        <a:solidFill>
          <a:schemeClr val="accent6">
            <a:lumMod val="60000"/>
            <a:lumOff val="40000"/>
          </a:schemeClr>
        </a:solidFill>
        <a:ln w="12700">
          <a:solidFill>
            <a:schemeClr val="tx1"/>
          </a:solidFill>
        </a:ln>
        <a:scene3d>
          <a:camera prst="orthographicFront"/>
          <a:lightRig rig="threePt" dir="t"/>
        </a:scene3d>
        <a:sp3d>
          <a:bevelT w="139700" prst="cross"/>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b="1">
              <a:solidFill>
                <a:srgbClr val="C00000"/>
              </a:solidFill>
            </a:rPr>
            <a:t>Calculate</a:t>
          </a:r>
        </a:p>
      </xdr:txBody>
    </xdr:sp>
    <xdr:clientData/>
  </xdr:twoCellAnchor>
  <xdr:twoCellAnchor editAs="oneCell">
    <xdr:from>
      <xdr:col>1</xdr:col>
      <xdr:colOff>714001</xdr:colOff>
      <xdr:row>0</xdr:row>
      <xdr:rowOff>137645</xdr:rowOff>
    </xdr:from>
    <xdr:to>
      <xdr:col>1</xdr:col>
      <xdr:colOff>2231374</xdr:colOff>
      <xdr:row>3</xdr:row>
      <xdr:rowOff>39560</xdr:rowOff>
    </xdr:to>
    <xdr:pic>
      <xdr:nvPicPr>
        <xdr:cNvPr id="3" name="Picture 2">
          <a:extLst>
            <a:ext uri="{FF2B5EF4-FFF2-40B4-BE49-F238E27FC236}">
              <a16:creationId xmlns:a16="http://schemas.microsoft.com/office/drawing/2014/main" id="{DDFFB327-9D48-487E-9D93-1C3A4CDB8F27}"/>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1764" t="12544" r="12413" b="12074"/>
        <a:stretch/>
      </xdr:blipFill>
      <xdr:spPr bwMode="auto">
        <a:xfrm>
          <a:off x="1027766" y="137645"/>
          <a:ext cx="1517373" cy="1078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246529</xdr:colOff>
      <xdr:row>3</xdr:row>
      <xdr:rowOff>67236</xdr:rowOff>
    </xdr:from>
    <xdr:to>
      <xdr:col>3</xdr:col>
      <xdr:colOff>1467217</xdr:colOff>
      <xdr:row>3</xdr:row>
      <xdr:rowOff>392207</xdr:rowOff>
    </xdr:to>
    <xdr:sp macro="[0]!Calculate_Click" textlink="">
      <xdr:nvSpPr>
        <xdr:cNvPr id="4" name="Rectangle: Rounded Corners 3">
          <a:extLst>
            <a:ext uri="{FF2B5EF4-FFF2-40B4-BE49-F238E27FC236}">
              <a16:creationId xmlns:a16="http://schemas.microsoft.com/office/drawing/2014/main" id="{56DD2438-4E9B-4D80-A598-284BF4E25345}"/>
            </a:ext>
          </a:extLst>
        </xdr:cNvPr>
        <xdr:cNvSpPr/>
      </xdr:nvSpPr>
      <xdr:spPr>
        <a:xfrm>
          <a:off x="4809004" y="1188011"/>
          <a:ext cx="1220688" cy="324971"/>
        </a:xfrm>
        <a:prstGeom prst="roundRect">
          <a:avLst/>
        </a:prstGeom>
        <a:solidFill>
          <a:schemeClr val="accent6">
            <a:lumMod val="60000"/>
            <a:lumOff val="40000"/>
          </a:schemeClr>
        </a:solidFill>
        <a:ln w="12700">
          <a:solidFill>
            <a:schemeClr val="tx1"/>
          </a:solidFill>
        </a:ln>
        <a:scene3d>
          <a:camera prst="orthographicFront"/>
          <a:lightRig rig="threePt" dir="t"/>
        </a:scene3d>
        <a:sp3d>
          <a:bevelT w="139700" prst="cross"/>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rgbClr val="C00000"/>
              </a:solidFill>
            </a:rPr>
            <a:t>Calculate</a:t>
          </a:r>
        </a:p>
      </xdr:txBody>
    </xdr:sp>
    <xdr:clientData/>
  </xdr:twoCellAnchor>
  <xdr:twoCellAnchor editAs="oneCell">
    <xdr:from>
      <xdr:col>1</xdr:col>
      <xdr:colOff>333375</xdr:colOff>
      <xdr:row>0</xdr:row>
      <xdr:rowOff>28575</xdr:rowOff>
    </xdr:from>
    <xdr:to>
      <xdr:col>1</xdr:col>
      <xdr:colOff>1847573</xdr:colOff>
      <xdr:row>1</xdr:row>
      <xdr:rowOff>141908</xdr:rowOff>
    </xdr:to>
    <xdr:pic>
      <xdr:nvPicPr>
        <xdr:cNvPr id="6" name="Picture 5">
          <a:extLst>
            <a:ext uri="{FF2B5EF4-FFF2-40B4-BE49-F238E27FC236}">
              <a16:creationId xmlns:a16="http://schemas.microsoft.com/office/drawing/2014/main" id="{706314BC-F6BF-4365-8EDC-A86C011C9FBA}"/>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1764" t="12544" r="12413" b="12074"/>
        <a:stretch/>
      </xdr:blipFill>
      <xdr:spPr bwMode="auto">
        <a:xfrm>
          <a:off x="942975" y="28575"/>
          <a:ext cx="1514198" cy="10785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59765</xdr:colOff>
      <xdr:row>23</xdr:row>
      <xdr:rowOff>67236</xdr:rowOff>
    </xdr:from>
    <xdr:to>
      <xdr:col>4</xdr:col>
      <xdr:colOff>1747051</xdr:colOff>
      <xdr:row>23</xdr:row>
      <xdr:rowOff>587563</xdr:rowOff>
    </xdr:to>
    <xdr:sp macro="[0]!Calculate_Click" textlink="">
      <xdr:nvSpPr>
        <xdr:cNvPr id="4" name="Rectangle: Rounded Corners 3">
          <a:extLst>
            <a:ext uri="{FF2B5EF4-FFF2-40B4-BE49-F238E27FC236}">
              <a16:creationId xmlns:a16="http://schemas.microsoft.com/office/drawing/2014/main" id="{B3C3F3E2-B0E8-441F-9317-75F7F94D0269}"/>
            </a:ext>
          </a:extLst>
        </xdr:cNvPr>
        <xdr:cNvSpPr/>
      </xdr:nvSpPr>
      <xdr:spPr>
        <a:xfrm>
          <a:off x="5736665" y="8731811"/>
          <a:ext cx="1684111" cy="523502"/>
        </a:xfrm>
        <a:prstGeom prst="roundRect">
          <a:avLst/>
        </a:prstGeom>
        <a:solidFill>
          <a:schemeClr val="accent6">
            <a:lumMod val="60000"/>
            <a:lumOff val="40000"/>
          </a:schemeClr>
        </a:solidFill>
        <a:ln w="12700">
          <a:solidFill>
            <a:schemeClr val="tx1"/>
          </a:solidFill>
        </a:ln>
        <a:scene3d>
          <a:camera prst="orthographicFront"/>
          <a:lightRig rig="threePt" dir="t"/>
        </a:scene3d>
        <a:sp3d>
          <a:bevelT w="139700" prst="cross"/>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2000" b="1">
              <a:solidFill>
                <a:srgbClr val="C00000"/>
              </a:solidFill>
            </a:rPr>
            <a:t>Calculate</a:t>
          </a:r>
        </a:p>
      </xdr:txBody>
    </xdr:sp>
    <xdr:clientData/>
  </xdr:twoCellAnchor>
  <xdr:twoCellAnchor editAs="oneCell">
    <xdr:from>
      <xdr:col>1</xdr:col>
      <xdr:colOff>291353</xdr:colOff>
      <xdr:row>1</xdr:row>
      <xdr:rowOff>22411</xdr:rowOff>
    </xdr:from>
    <xdr:to>
      <xdr:col>1</xdr:col>
      <xdr:colOff>1799201</xdr:colOff>
      <xdr:row>4</xdr:row>
      <xdr:rowOff>888032</xdr:rowOff>
    </xdr:to>
    <xdr:pic>
      <xdr:nvPicPr>
        <xdr:cNvPr id="5" name="Picture 4">
          <a:extLst>
            <a:ext uri="{FF2B5EF4-FFF2-40B4-BE49-F238E27FC236}">
              <a16:creationId xmlns:a16="http://schemas.microsoft.com/office/drawing/2014/main" id="{74B9B603-A724-4298-A15C-F294ACAA88A6}"/>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1764" t="12544" r="12413" b="12074"/>
        <a:stretch/>
      </xdr:blipFill>
      <xdr:spPr bwMode="auto">
        <a:xfrm>
          <a:off x="571500" y="100852"/>
          <a:ext cx="1511023" cy="1081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530679</xdr:colOff>
      <xdr:row>3</xdr:row>
      <xdr:rowOff>105681</xdr:rowOff>
    </xdr:from>
    <xdr:to>
      <xdr:col>10</xdr:col>
      <xdr:colOff>1876069</xdr:colOff>
      <xdr:row>23</xdr:row>
      <xdr:rowOff>26614</xdr:rowOff>
    </xdr:to>
    <xdr:pic>
      <xdr:nvPicPr>
        <xdr:cNvPr id="4" name="Picture 3">
          <a:extLst>
            <a:ext uri="{FF2B5EF4-FFF2-40B4-BE49-F238E27FC236}">
              <a16:creationId xmlns:a16="http://schemas.microsoft.com/office/drawing/2014/main" id="{06758C26-57F5-4C47-B817-873FDF9E16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9456965" y="1357538"/>
          <a:ext cx="6372775" cy="45537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2.arb.ca.gov/resources/documents/apply-lcfs-fuel-pathway" TargetMode="External"/><Relationship Id="rId2" Type="http://schemas.openxmlformats.org/officeDocument/2006/relationships/hyperlink" Target="https://ww2.arb.ca.gov/our-work/programs/low-carbon-fuel-standard" TargetMode="External"/><Relationship Id="rId1" Type="http://schemas.openxmlformats.org/officeDocument/2006/relationships/hyperlink" Target="https://ww2.arb.ca.gov/resources/documents/lcfs-life-cycle-analysis-models-and-documentation"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829B1D-AE79-437A-B922-C6E94672B62B}">
  <sheetPr codeName="Introduction">
    <tabColor rgb="FF2798A9"/>
  </sheetPr>
  <dimension ref="B1:AR102"/>
  <sheetViews>
    <sheetView showGridLines="0" tabSelected="1" topLeftCell="A3" zoomScaleNormal="100" workbookViewId="0">
      <selection activeCell="C4" sqref="C4:G5"/>
    </sheetView>
  </sheetViews>
  <sheetFormatPr defaultColWidth="20.7109375" defaultRowHeight="15"/>
  <cols>
    <col min="1" max="1" width="11.28515625" style="1" customWidth="1"/>
    <col min="2" max="2" width="10.7109375" style="1" customWidth="1"/>
    <col min="3" max="3" width="40.7109375" style="1" customWidth="1"/>
    <col min="4" max="4" width="28.7109375" style="1" customWidth="1"/>
    <col min="5" max="5" width="13.85546875" style="1" customWidth="1"/>
    <col min="6" max="6" width="54.28515625" style="1" customWidth="1"/>
    <col min="7" max="7" width="40.7109375" style="1" customWidth="1"/>
    <col min="8" max="8" width="10.7109375" style="1" customWidth="1"/>
    <col min="9" max="9" width="255.7109375" style="1" customWidth="1"/>
    <col min="10" max="10" width="62.140625" style="1" customWidth="1"/>
    <col min="11" max="11" width="39.85546875" style="18" customWidth="1"/>
    <col min="12" max="12" width="61.140625" style="1" customWidth="1"/>
    <col min="13" max="13" width="50.28515625" style="1" customWidth="1"/>
    <col min="14" max="14" width="28.5703125" style="1" customWidth="1"/>
    <col min="15" max="15" width="34" style="1" bestFit="1" customWidth="1"/>
    <col min="16" max="16" width="19.140625" style="1" customWidth="1"/>
    <col min="17" max="17" width="19.28515625" style="1" customWidth="1"/>
    <col min="18" max="18" width="14.42578125" style="1" customWidth="1"/>
    <col min="19" max="19" width="23.85546875" style="1" customWidth="1"/>
    <col min="20" max="20" width="17.85546875" style="1" customWidth="1"/>
    <col min="21" max="21" width="25.140625" style="1" customWidth="1"/>
    <col min="22" max="22" width="14.85546875" style="1" customWidth="1"/>
    <col min="23" max="23" width="15.28515625" style="1" customWidth="1"/>
    <col min="24" max="24" width="24.42578125" style="1" customWidth="1"/>
    <col min="25" max="25" width="18.5703125" style="1" bestFit="1" customWidth="1"/>
    <col min="26" max="26" width="18.5703125" style="1" customWidth="1"/>
    <col min="27" max="28" width="12.42578125" style="1" customWidth="1"/>
    <col min="29" max="29" width="29" style="1" customWidth="1"/>
    <col min="30" max="30" width="23.5703125" style="1" customWidth="1"/>
    <col min="31" max="31" width="19.42578125" style="1" customWidth="1"/>
    <col min="32" max="16384" width="20.7109375" style="1"/>
  </cols>
  <sheetData>
    <row r="1" spans="2:40" ht="20.100000000000001" customHeight="1">
      <c r="I1" s="2"/>
      <c r="J1" s="2"/>
      <c r="K1" s="3"/>
      <c r="L1" s="3"/>
      <c r="M1" s="3"/>
      <c r="S1" s="4"/>
      <c r="T1" s="4"/>
      <c r="U1" s="4"/>
      <c r="V1" s="4"/>
      <c r="W1" s="4"/>
      <c r="X1" s="4"/>
      <c r="Y1" s="4"/>
      <c r="Z1" s="4"/>
      <c r="AA1" s="4"/>
      <c r="AB1" s="4"/>
      <c r="AC1" s="4"/>
      <c r="AD1" s="4"/>
      <c r="AE1" s="4"/>
      <c r="AF1" s="4"/>
      <c r="AG1" s="4"/>
      <c r="AH1" s="4"/>
      <c r="AI1" s="4"/>
      <c r="AJ1" s="4"/>
      <c r="AK1" s="4"/>
      <c r="AL1" s="4"/>
      <c r="AM1" s="4"/>
      <c r="AN1" s="4"/>
    </row>
    <row r="2" spans="2:40" ht="107.25" customHeight="1">
      <c r="B2" s="900"/>
      <c r="C2" s="901"/>
      <c r="D2" s="901"/>
      <c r="E2" s="901"/>
      <c r="F2" s="901"/>
      <c r="G2" s="901"/>
      <c r="H2" s="902"/>
      <c r="K2" s="3"/>
      <c r="S2" s="4"/>
      <c r="T2" s="4"/>
      <c r="U2" s="4"/>
      <c r="V2" s="4"/>
      <c r="W2" s="4"/>
      <c r="X2" s="4"/>
      <c r="Y2" s="4"/>
      <c r="Z2" s="4"/>
      <c r="AA2" s="4"/>
      <c r="AB2" s="4"/>
      <c r="AC2" s="4"/>
      <c r="AD2" s="4"/>
      <c r="AE2" s="4"/>
      <c r="AF2" s="4"/>
      <c r="AG2" s="4"/>
      <c r="AH2" s="4"/>
      <c r="AI2" s="4"/>
      <c r="AJ2" s="4"/>
      <c r="AK2" s="4"/>
      <c r="AL2" s="4"/>
      <c r="AM2" s="4"/>
      <c r="AN2" s="4"/>
    </row>
    <row r="3" spans="2:40" ht="55.5" customHeight="1">
      <c r="B3" s="903" t="s">
        <v>0</v>
      </c>
      <c r="C3" s="904"/>
      <c r="D3" s="904"/>
      <c r="E3" s="904"/>
      <c r="F3" s="904"/>
      <c r="G3" s="904"/>
      <c r="H3" s="905"/>
      <c r="K3" s="3"/>
      <c r="S3" s="4"/>
      <c r="T3" s="4"/>
      <c r="U3" s="4"/>
      <c r="V3" s="4"/>
      <c r="W3" s="4"/>
      <c r="X3" s="4"/>
      <c r="Y3" s="4"/>
      <c r="Z3" s="4"/>
      <c r="AA3" s="4"/>
      <c r="AB3" s="4"/>
      <c r="AC3" s="4"/>
      <c r="AD3" s="4"/>
      <c r="AE3" s="4"/>
      <c r="AF3" s="4"/>
      <c r="AG3" s="4"/>
      <c r="AH3" s="4"/>
      <c r="AI3" s="4"/>
      <c r="AJ3" s="4"/>
      <c r="AK3" s="4"/>
      <c r="AL3" s="4"/>
      <c r="AM3" s="4"/>
      <c r="AN3" s="4"/>
    </row>
    <row r="4" spans="2:40" ht="409.6" customHeight="1">
      <c r="B4" s="5"/>
      <c r="C4" s="1115" t="s">
        <v>1</v>
      </c>
      <c r="D4" s="906"/>
      <c r="E4" s="906"/>
      <c r="F4" s="906"/>
      <c r="G4" s="906"/>
      <c r="H4" s="6"/>
      <c r="K4" s="3"/>
      <c r="S4" s="4"/>
      <c r="T4" s="4"/>
      <c r="U4" s="4"/>
      <c r="V4" s="4"/>
      <c r="W4" s="4"/>
      <c r="X4" s="4"/>
      <c r="Y4" s="4"/>
      <c r="Z4" s="4"/>
      <c r="AA4" s="4"/>
      <c r="AB4" s="4"/>
      <c r="AC4" s="4"/>
      <c r="AD4" s="4"/>
      <c r="AE4" s="4"/>
      <c r="AF4" s="4"/>
      <c r="AG4" s="4"/>
      <c r="AH4" s="4"/>
      <c r="AI4" s="4"/>
      <c r="AJ4" s="4"/>
      <c r="AK4" s="4"/>
      <c r="AL4" s="4"/>
      <c r="AM4" s="4"/>
      <c r="AN4" s="4"/>
    </row>
    <row r="5" spans="2:40" ht="51" customHeight="1">
      <c r="B5" s="5"/>
      <c r="C5" s="906"/>
      <c r="D5" s="906"/>
      <c r="E5" s="906"/>
      <c r="F5" s="906"/>
      <c r="G5" s="906"/>
      <c r="H5" s="6"/>
      <c r="K5" s="3"/>
      <c r="S5" s="4"/>
      <c r="T5" s="4"/>
      <c r="U5" s="4"/>
      <c r="V5" s="4"/>
      <c r="W5" s="4"/>
      <c r="X5" s="4"/>
      <c r="Y5" s="4"/>
      <c r="Z5" s="4"/>
      <c r="AA5" s="4"/>
      <c r="AB5" s="4"/>
      <c r="AC5" s="4"/>
      <c r="AD5" s="4"/>
      <c r="AE5" s="4"/>
      <c r="AF5" s="4"/>
      <c r="AG5" s="4"/>
      <c r="AH5" s="4"/>
      <c r="AI5" s="4"/>
      <c r="AJ5" s="4"/>
      <c r="AK5" s="4"/>
      <c r="AL5" s="4"/>
      <c r="AM5" s="4"/>
      <c r="AN5" s="4"/>
    </row>
    <row r="6" spans="2:40" ht="25.5" customHeight="1">
      <c r="B6" s="5"/>
      <c r="C6" s="880"/>
      <c r="D6" s="880"/>
      <c r="E6" s="880"/>
      <c r="F6" s="880"/>
      <c r="G6" s="880"/>
      <c r="H6" s="6"/>
      <c r="K6" s="3"/>
      <c r="S6" s="4"/>
      <c r="T6" s="4"/>
      <c r="U6" s="4"/>
      <c r="V6" s="4"/>
      <c r="W6" s="4"/>
      <c r="X6" s="4"/>
      <c r="Y6" s="4"/>
      <c r="Z6" s="4"/>
      <c r="AA6" s="4"/>
      <c r="AB6" s="4"/>
      <c r="AC6" s="4"/>
      <c r="AD6" s="4"/>
      <c r="AE6" s="4"/>
      <c r="AF6" s="4"/>
      <c r="AG6" s="4"/>
      <c r="AH6" s="4"/>
      <c r="AI6" s="4"/>
      <c r="AJ6" s="4"/>
      <c r="AK6" s="4"/>
      <c r="AL6" s="4"/>
      <c r="AM6" s="4"/>
      <c r="AN6" s="4"/>
    </row>
    <row r="7" spans="2:40" ht="21">
      <c r="B7" s="907"/>
      <c r="C7" s="908"/>
      <c r="D7" s="7" t="s">
        <v>2</v>
      </c>
      <c r="E7" s="909"/>
      <c r="F7" s="7" t="s">
        <v>3</v>
      </c>
      <c r="G7" s="910"/>
      <c r="H7" s="911"/>
      <c r="K7" s="3"/>
      <c r="S7" s="4"/>
      <c r="T7" s="4"/>
      <c r="U7" s="4"/>
      <c r="V7" s="4"/>
      <c r="W7" s="4"/>
      <c r="X7" s="4"/>
      <c r="Y7" s="4"/>
      <c r="Z7" s="4"/>
      <c r="AA7" s="4"/>
      <c r="AB7" s="4"/>
      <c r="AC7" s="4"/>
      <c r="AD7" s="4"/>
      <c r="AE7" s="4"/>
      <c r="AF7" s="4"/>
      <c r="AG7" s="4"/>
      <c r="AH7" s="4"/>
      <c r="AI7" s="4"/>
      <c r="AJ7" s="4"/>
      <c r="AK7" s="4"/>
      <c r="AL7" s="4"/>
      <c r="AM7" s="4"/>
      <c r="AN7" s="4"/>
    </row>
    <row r="8" spans="2:40" ht="21">
      <c r="B8" s="907"/>
      <c r="C8" s="908"/>
      <c r="D8" s="8" t="s">
        <v>4</v>
      </c>
      <c r="E8" s="909"/>
      <c r="F8" s="9" t="s">
        <v>5</v>
      </c>
      <c r="G8" s="910"/>
      <c r="H8" s="911"/>
      <c r="K8" s="3"/>
      <c r="S8" s="4"/>
      <c r="T8" s="4"/>
      <c r="U8" s="4"/>
      <c r="V8" s="4"/>
      <c r="W8" s="4"/>
      <c r="X8" s="4"/>
      <c r="Y8" s="4"/>
      <c r="Z8" s="4"/>
      <c r="AA8" s="4"/>
      <c r="AB8" s="4"/>
      <c r="AC8" s="4"/>
      <c r="AD8" s="4"/>
      <c r="AE8" s="4"/>
      <c r="AF8" s="4"/>
      <c r="AG8" s="4"/>
      <c r="AH8" s="4"/>
      <c r="AI8" s="4"/>
      <c r="AJ8" s="4"/>
      <c r="AK8" s="4"/>
      <c r="AL8" s="4"/>
      <c r="AM8" s="4"/>
      <c r="AN8" s="4"/>
    </row>
    <row r="9" spans="2:40" ht="21">
      <c r="B9" s="907"/>
      <c r="C9" s="908"/>
      <c r="D9" s="10" t="s">
        <v>6</v>
      </c>
      <c r="E9" s="909"/>
      <c r="F9" s="9" t="s">
        <v>7</v>
      </c>
      <c r="G9" s="910"/>
      <c r="H9" s="911"/>
      <c r="K9" s="3"/>
      <c r="S9" s="4"/>
      <c r="T9" s="4"/>
      <c r="U9" s="4"/>
      <c r="V9" s="4"/>
      <c r="W9" s="4"/>
      <c r="X9" s="4"/>
      <c r="Y9" s="4"/>
      <c r="Z9" s="4"/>
      <c r="AA9" s="4"/>
      <c r="AB9" s="4"/>
      <c r="AC9" s="4"/>
      <c r="AD9" s="4"/>
      <c r="AE9" s="4"/>
      <c r="AF9" s="4"/>
      <c r="AG9" s="4"/>
      <c r="AH9" s="4"/>
      <c r="AI9" s="4"/>
      <c r="AJ9" s="4"/>
      <c r="AK9" s="4"/>
      <c r="AL9" s="4"/>
      <c r="AM9" s="4"/>
      <c r="AN9" s="4"/>
    </row>
    <row r="10" spans="2:40" ht="21">
      <c r="B10" s="907"/>
      <c r="C10" s="908"/>
      <c r="D10" s="11" t="s">
        <v>8</v>
      </c>
      <c r="E10" s="909"/>
      <c r="F10" s="12" t="s">
        <v>9</v>
      </c>
      <c r="G10" s="910"/>
      <c r="H10" s="911"/>
      <c r="K10" s="3"/>
      <c r="S10" s="4"/>
      <c r="T10" s="4"/>
      <c r="U10" s="4"/>
      <c r="V10" s="4"/>
      <c r="W10" s="4"/>
      <c r="X10" s="4"/>
      <c r="Y10" s="4"/>
      <c r="Z10" s="4"/>
      <c r="AA10" s="4"/>
      <c r="AB10" s="4"/>
      <c r="AC10" s="4"/>
      <c r="AD10" s="4"/>
      <c r="AE10" s="4"/>
      <c r="AF10" s="4"/>
      <c r="AG10" s="4"/>
      <c r="AH10" s="4"/>
      <c r="AI10" s="4"/>
      <c r="AJ10" s="4"/>
      <c r="AK10" s="4"/>
      <c r="AL10" s="4"/>
      <c r="AM10" s="4"/>
      <c r="AN10" s="4"/>
    </row>
    <row r="11" spans="2:40" ht="21">
      <c r="B11" s="881"/>
      <c r="C11" s="13"/>
      <c r="D11" s="14" t="s">
        <v>10</v>
      </c>
      <c r="E11" s="15"/>
      <c r="F11" s="16"/>
      <c r="G11" s="17"/>
      <c r="H11" s="882"/>
      <c r="K11" s="3"/>
      <c r="S11" s="4"/>
      <c r="T11" s="4"/>
      <c r="U11" s="4"/>
      <c r="V11" s="4"/>
      <c r="W11" s="4"/>
      <c r="X11" s="4"/>
      <c r="Y11" s="4"/>
      <c r="Z11" s="4"/>
      <c r="AA11" s="4"/>
      <c r="AB11" s="4"/>
      <c r="AC11" s="4"/>
      <c r="AD11" s="4"/>
      <c r="AE11" s="4"/>
      <c r="AF11" s="4"/>
      <c r="AG11" s="4"/>
      <c r="AH11" s="4"/>
      <c r="AI11" s="4"/>
      <c r="AJ11" s="4"/>
      <c r="AK11" s="4"/>
      <c r="AL11" s="4"/>
      <c r="AM11" s="4"/>
      <c r="AN11" s="4"/>
    </row>
    <row r="12" spans="2:40" s="18" customFormat="1">
      <c r="B12" s="897"/>
      <c r="C12" s="898"/>
      <c r="D12" s="898"/>
      <c r="E12" s="898"/>
      <c r="F12" s="898"/>
      <c r="G12" s="898"/>
      <c r="H12" s="899"/>
      <c r="AL12" s="19"/>
    </row>
    <row r="13" spans="2:40" s="18" customFormat="1" ht="408.95" customHeight="1">
      <c r="H13" s="20"/>
      <c r="AL13" s="19"/>
    </row>
    <row r="14" spans="2:40" s="18" customFormat="1">
      <c r="AL14" s="19"/>
    </row>
    <row r="15" spans="2:40" s="18" customFormat="1">
      <c r="AL15" s="21"/>
    </row>
    <row r="16" spans="2:40">
      <c r="K16" s="1"/>
    </row>
    <row r="17" spans="2:44" s="26" customFormat="1">
      <c r="B17" s="22"/>
      <c r="C17" s="22"/>
      <c r="D17" s="22"/>
      <c r="E17" s="23"/>
      <c r="F17" s="23"/>
      <c r="G17" s="23"/>
      <c r="H17" s="19"/>
      <c r="I17" s="19"/>
      <c r="J17" s="19"/>
      <c r="K17" s="19"/>
      <c r="L17" s="24"/>
      <c r="M17" s="24"/>
      <c r="N17" s="19"/>
      <c r="O17" s="19"/>
      <c r="P17" s="19"/>
      <c r="Q17" s="24"/>
      <c r="R17" s="19"/>
      <c r="S17" s="19"/>
      <c r="T17" s="25"/>
      <c r="U17" s="19"/>
      <c r="V17" s="19"/>
      <c r="W17" s="19"/>
      <c r="X17" s="19"/>
      <c r="Y17" s="24"/>
      <c r="Z17" s="24"/>
      <c r="AA17" s="19"/>
      <c r="AB17" s="19"/>
      <c r="AC17" s="19"/>
      <c r="AD17" s="19"/>
      <c r="AE17" s="19"/>
      <c r="AF17" s="19"/>
      <c r="AG17" s="19"/>
      <c r="AH17" s="19"/>
      <c r="AI17" s="19"/>
      <c r="AJ17" s="19"/>
      <c r="AK17" s="19"/>
    </row>
    <row r="18" spans="2:44" s="26" customFormat="1" ht="21">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8"/>
    </row>
    <row r="19" spans="2:44" s="26" customFormat="1">
      <c r="Q19" s="29"/>
      <c r="R19" s="19"/>
      <c r="S19" s="19"/>
      <c r="T19" s="25"/>
      <c r="U19" s="19"/>
    </row>
    <row r="20" spans="2:44" s="26" customFormat="1">
      <c r="B20" s="30"/>
      <c r="C20" s="30"/>
      <c r="D20" s="30"/>
      <c r="E20" s="23"/>
      <c r="F20" s="23"/>
      <c r="G20" s="23"/>
      <c r="H20" s="31"/>
      <c r="I20" s="31"/>
      <c r="J20" s="31"/>
      <c r="K20" s="31"/>
      <c r="L20" s="31"/>
      <c r="M20" s="31"/>
      <c r="N20" s="31"/>
      <c r="O20" s="32"/>
      <c r="Q20" s="33"/>
      <c r="R20" s="33"/>
      <c r="S20" s="33"/>
      <c r="T20" s="34"/>
      <c r="U20" s="35"/>
      <c r="AA20" s="31"/>
      <c r="AB20" s="31"/>
      <c r="AC20" s="31"/>
      <c r="AD20" s="31"/>
      <c r="AE20" s="31"/>
      <c r="AF20" s="36"/>
      <c r="AG20" s="36"/>
    </row>
    <row r="21" spans="2:44" s="26" customFormat="1">
      <c r="B21" s="37"/>
      <c r="C21" s="37"/>
      <c r="D21" s="37"/>
      <c r="E21" s="38"/>
      <c r="F21" s="38"/>
      <c r="G21" s="38"/>
      <c r="H21" s="39"/>
      <c r="I21" s="39"/>
      <c r="J21" s="39"/>
      <c r="K21" s="39"/>
      <c r="L21" s="40"/>
      <c r="M21" s="40"/>
      <c r="N21" s="40"/>
      <c r="O21" s="24"/>
      <c r="P21" s="35"/>
      <c r="Q21" s="39"/>
      <c r="R21" s="41"/>
      <c r="S21" s="39"/>
      <c r="T21" s="42"/>
      <c r="U21" s="43"/>
      <c r="V21" s="31"/>
      <c r="W21" s="31"/>
      <c r="X21" s="31"/>
      <c r="Y21" s="31"/>
      <c r="Z21" s="35"/>
      <c r="AH21" s="36"/>
      <c r="AI21" s="36"/>
      <c r="AJ21" s="36"/>
      <c r="AK21" s="36"/>
      <c r="AL21" s="36"/>
      <c r="AM21" s="36"/>
    </row>
    <row r="22" spans="2:44" s="26" customFormat="1">
      <c r="B22" s="44"/>
      <c r="C22" s="44"/>
      <c r="D22" s="44"/>
      <c r="E22" s="45"/>
      <c r="F22" s="45"/>
      <c r="G22" s="45"/>
      <c r="H22" s="1"/>
      <c r="I22" s="1"/>
      <c r="J22" s="1"/>
      <c r="K22" s="39"/>
      <c r="L22" s="46"/>
      <c r="M22" s="46"/>
      <c r="N22" s="46"/>
      <c r="O22" s="47"/>
      <c r="P22" s="47"/>
      <c r="Q22" s="39"/>
      <c r="R22" s="41"/>
      <c r="S22" s="39"/>
      <c r="T22" s="42"/>
      <c r="U22" s="42"/>
      <c r="V22" s="41"/>
      <c r="W22" s="41"/>
      <c r="X22" s="41"/>
      <c r="Y22" s="48"/>
      <c r="Z22" s="48"/>
      <c r="AH22" s="45"/>
      <c r="AI22" s="41"/>
      <c r="AJ22" s="45"/>
      <c r="AK22" s="41"/>
      <c r="AL22" s="45"/>
      <c r="AM22" s="41"/>
    </row>
    <row r="23" spans="2:44" s="26" customFormat="1">
      <c r="B23" s="49"/>
      <c r="C23" s="49"/>
      <c r="D23" s="49"/>
      <c r="E23" s="45"/>
      <c r="F23" s="45"/>
      <c r="G23" s="45"/>
      <c r="H23" s="1"/>
      <c r="I23" s="1"/>
      <c r="J23" s="1"/>
      <c r="K23" s="39"/>
      <c r="L23" s="46"/>
      <c r="M23" s="46"/>
      <c r="N23" s="46"/>
      <c r="O23" s="50"/>
      <c r="P23" s="50"/>
      <c r="Q23" s="39"/>
      <c r="R23" s="41"/>
      <c r="S23" s="39"/>
      <c r="T23" s="45"/>
      <c r="U23" s="42"/>
      <c r="V23" s="46"/>
      <c r="W23" s="46"/>
      <c r="X23" s="46"/>
      <c r="Y23" s="51"/>
      <c r="Z23" s="51"/>
      <c r="AH23" s="45"/>
      <c r="AI23" s="52"/>
      <c r="AJ23" s="45"/>
      <c r="AK23" s="52"/>
      <c r="AL23" s="45"/>
      <c r="AM23" s="52"/>
    </row>
    <row r="24" spans="2:44" s="26" customFormat="1">
      <c r="B24" s="53"/>
      <c r="C24" s="53"/>
      <c r="D24" s="53"/>
      <c r="E24" s="45"/>
      <c r="F24" s="45"/>
      <c r="G24" s="45"/>
      <c r="H24" s="1"/>
      <c r="I24" s="1"/>
      <c r="J24" s="1"/>
      <c r="K24" s="39"/>
      <c r="L24" s="46"/>
      <c r="M24" s="46"/>
      <c r="N24" s="46"/>
      <c r="O24" s="50"/>
      <c r="P24" s="50"/>
      <c r="Q24" s="39"/>
      <c r="R24" s="41"/>
      <c r="S24" s="39"/>
      <c r="T24" s="54"/>
      <c r="U24" s="42"/>
      <c r="V24" s="46"/>
      <c r="W24" s="46"/>
      <c r="X24" s="46"/>
      <c r="Y24" s="51"/>
      <c r="Z24" s="51"/>
      <c r="AH24" s="45"/>
      <c r="AI24" s="52"/>
      <c r="AJ24" s="45"/>
      <c r="AK24" s="52"/>
      <c r="AL24" s="45"/>
      <c r="AM24" s="52"/>
    </row>
    <row r="25" spans="2:44" s="26" customFormat="1">
      <c r="B25" s="30"/>
      <c r="C25" s="30"/>
      <c r="D25" s="30"/>
      <c r="E25" s="45"/>
      <c r="F25" s="45"/>
      <c r="G25" s="45"/>
      <c r="H25" s="1"/>
      <c r="I25" s="1"/>
      <c r="J25" s="1"/>
      <c r="K25" s="39"/>
      <c r="L25" s="46"/>
      <c r="M25" s="46"/>
      <c r="N25" s="46"/>
      <c r="O25" s="50"/>
      <c r="P25" s="50"/>
      <c r="Q25" s="43"/>
      <c r="R25" s="55"/>
      <c r="S25" s="24"/>
      <c r="T25" s="54"/>
      <c r="U25" s="42"/>
      <c r="V25" s="46"/>
      <c r="W25" s="46"/>
      <c r="X25" s="46"/>
      <c r="Y25" s="51"/>
      <c r="Z25" s="51"/>
      <c r="AH25" s="45"/>
      <c r="AI25" s="52"/>
      <c r="AJ25" s="45"/>
      <c r="AK25" s="52"/>
      <c r="AL25" s="45"/>
      <c r="AM25" s="52"/>
    </row>
    <row r="26" spans="2:44" s="26" customFormat="1">
      <c r="H26" s="19"/>
      <c r="I26" s="19"/>
      <c r="J26" s="19"/>
      <c r="K26" s="19"/>
      <c r="L26" s="24"/>
      <c r="M26" s="24"/>
      <c r="N26" s="19"/>
      <c r="O26" s="19"/>
      <c r="P26" s="19"/>
      <c r="Q26" s="33"/>
      <c r="R26" s="33"/>
      <c r="S26" s="33"/>
      <c r="T26" s="25"/>
      <c r="U26" s="19"/>
      <c r="V26" s="19"/>
      <c r="W26" s="19"/>
      <c r="X26" s="19"/>
      <c r="Y26" s="24"/>
      <c r="Z26" s="24"/>
      <c r="AA26" s="19"/>
      <c r="AB26" s="19"/>
      <c r="AC26" s="19"/>
      <c r="AD26" s="19"/>
      <c r="AE26" s="19"/>
      <c r="AF26" s="19"/>
    </row>
    <row r="27" spans="2:44" s="26" customFormat="1">
      <c r="H27" s="19"/>
      <c r="I27" s="19"/>
      <c r="J27" s="19"/>
      <c r="N27" s="19"/>
      <c r="O27" s="19"/>
      <c r="P27" s="19"/>
      <c r="Q27" s="54"/>
      <c r="R27" s="19"/>
      <c r="S27" s="42"/>
      <c r="T27" s="25"/>
      <c r="U27" s="19"/>
      <c r="V27" s="19"/>
      <c r="W27" s="19"/>
      <c r="X27" s="19"/>
      <c r="Y27" s="24"/>
      <c r="Z27" s="24"/>
      <c r="AA27" s="19"/>
      <c r="AB27" s="19"/>
      <c r="AC27" s="19"/>
      <c r="AD27" s="19"/>
      <c r="AE27" s="19"/>
      <c r="AF27" s="19"/>
      <c r="AG27" s="1"/>
      <c r="AH27" s="1"/>
      <c r="AI27" s="1"/>
      <c r="AJ27" s="1"/>
      <c r="AK27" s="1"/>
      <c r="AL27" s="1"/>
      <c r="AM27" s="1"/>
      <c r="AN27" s="1"/>
    </row>
    <row r="28" spans="2:44">
      <c r="H28" s="56"/>
      <c r="I28" s="56"/>
      <c r="J28" s="56"/>
      <c r="K28" s="19"/>
      <c r="L28" s="24"/>
      <c r="M28" s="24"/>
      <c r="O28" s="18"/>
      <c r="Q28" s="57"/>
      <c r="R28" s="58"/>
      <c r="S28" s="57"/>
      <c r="AF28" s="18"/>
      <c r="AH28" s="26"/>
      <c r="AR28" s="18"/>
    </row>
    <row r="29" spans="2:44" ht="21">
      <c r="B29" s="27"/>
      <c r="C29" s="27"/>
      <c r="D29" s="27"/>
      <c r="E29" s="27"/>
      <c r="F29" s="27"/>
      <c r="G29" s="27"/>
      <c r="H29" s="56"/>
      <c r="I29" s="56"/>
      <c r="J29" s="56"/>
      <c r="K29" s="59"/>
      <c r="L29" s="60"/>
      <c r="M29" s="60"/>
      <c r="N29" s="61"/>
      <c r="O29" s="18"/>
      <c r="Q29" s="57"/>
      <c r="R29" s="58"/>
      <c r="S29" s="57"/>
    </row>
    <row r="30" spans="2:44" ht="21">
      <c r="B30" s="62"/>
      <c r="C30" s="62"/>
      <c r="D30" s="62"/>
      <c r="E30" s="63"/>
      <c r="F30" s="63"/>
      <c r="G30" s="63"/>
      <c r="H30" s="64"/>
      <c r="I30" s="64"/>
      <c r="J30" s="64"/>
      <c r="K30" s="65"/>
      <c r="L30" s="60"/>
      <c r="M30" s="60"/>
      <c r="Q30" s="57"/>
      <c r="R30" s="58"/>
      <c r="S30" s="57"/>
    </row>
    <row r="31" spans="2:44" s="71" customFormat="1">
      <c r="B31" s="66"/>
      <c r="C31" s="66"/>
      <c r="D31" s="66"/>
      <c r="E31" s="67"/>
      <c r="F31" s="67"/>
      <c r="G31" s="67"/>
      <c r="H31" s="68"/>
      <c r="I31" s="68"/>
      <c r="J31" s="68"/>
      <c r="K31" s="69"/>
      <c r="L31" s="69"/>
      <c r="M31" s="69"/>
      <c r="N31" s="69"/>
      <c r="O31" s="69"/>
      <c r="P31" s="69"/>
      <c r="Q31" s="70"/>
      <c r="R31" s="58"/>
      <c r="S31" s="39"/>
      <c r="V31" s="1"/>
      <c r="W31" s="1"/>
      <c r="X31" s="1"/>
      <c r="Y31" s="1"/>
      <c r="Z31" s="1"/>
    </row>
    <row r="32" spans="2:44" s="71" customFormat="1">
      <c r="B32" s="39"/>
      <c r="C32" s="39"/>
      <c r="D32" s="39"/>
      <c r="E32" s="72"/>
      <c r="F32" s="72"/>
      <c r="G32" s="72"/>
      <c r="H32" s="68"/>
      <c r="I32" s="68"/>
      <c r="J32" s="68"/>
      <c r="K32" s="65"/>
      <c r="L32" s="60"/>
      <c r="M32" s="60"/>
      <c r="N32" s="69"/>
      <c r="O32" s="69"/>
      <c r="P32" s="69"/>
      <c r="Q32" s="69"/>
      <c r="R32" s="69"/>
      <c r="S32" s="39"/>
      <c r="V32" s="1"/>
      <c r="W32" s="1"/>
      <c r="X32" s="1"/>
      <c r="Y32" s="1"/>
      <c r="Z32" s="1"/>
    </row>
    <row r="33" spans="2:36" ht="15.75">
      <c r="B33" s="73"/>
      <c r="C33" s="73"/>
      <c r="D33" s="73"/>
      <c r="E33" s="74"/>
      <c r="F33" s="74"/>
      <c r="G33" s="74"/>
      <c r="H33" s="75"/>
      <c r="I33" s="75"/>
      <c r="J33" s="75"/>
      <c r="K33" s="39"/>
      <c r="L33" s="39"/>
      <c r="M33" s="39"/>
      <c r="N33" s="39"/>
      <c r="O33" s="39"/>
      <c r="P33" s="39"/>
      <c r="Q33" s="76"/>
      <c r="R33" s="39"/>
      <c r="S33" s="39"/>
    </row>
    <row r="34" spans="2:36" ht="15.75">
      <c r="B34" s="77"/>
      <c r="C34" s="77"/>
      <c r="D34" s="77"/>
      <c r="E34" s="74"/>
      <c r="F34" s="74"/>
      <c r="G34" s="74"/>
      <c r="H34" s="75"/>
      <c r="I34" s="75"/>
      <c r="J34" s="75"/>
      <c r="K34" s="39"/>
      <c r="L34" s="39"/>
      <c r="M34" s="39"/>
      <c r="N34" s="39"/>
      <c r="O34" s="39"/>
      <c r="P34" s="39"/>
      <c r="Q34" s="78"/>
      <c r="R34" s="39"/>
      <c r="S34" s="39"/>
      <c r="AG34" s="79"/>
      <c r="AJ34" s="80"/>
    </row>
    <row r="35" spans="2:36" ht="15.75">
      <c r="B35" s="73"/>
      <c r="C35" s="73"/>
      <c r="D35" s="73"/>
      <c r="E35" s="81"/>
      <c r="F35" s="81"/>
      <c r="G35" s="81"/>
      <c r="H35" s="82"/>
      <c r="I35" s="82"/>
      <c r="J35" s="82"/>
      <c r="N35" s="39"/>
      <c r="O35" s="39"/>
      <c r="P35" s="39"/>
      <c r="Q35" s="78"/>
      <c r="R35" s="39"/>
      <c r="S35" s="39"/>
      <c r="AJ35" s="83"/>
    </row>
    <row r="36" spans="2:36" ht="15.75">
      <c r="B36" s="84"/>
      <c r="C36" s="84"/>
      <c r="D36" s="84"/>
      <c r="E36" s="85"/>
      <c r="F36" s="85"/>
      <c r="G36" s="85"/>
      <c r="H36" s="86"/>
      <c r="I36" s="86"/>
      <c r="J36" s="86"/>
      <c r="K36" s="80"/>
      <c r="L36" s="60"/>
      <c r="M36" s="60"/>
      <c r="N36" s="39"/>
      <c r="O36" s="39"/>
      <c r="P36" s="39"/>
      <c r="Q36" s="78"/>
      <c r="R36" s="39"/>
      <c r="S36" s="39"/>
      <c r="V36" s="18"/>
      <c r="W36" s="18"/>
      <c r="X36" s="18"/>
      <c r="Y36" s="18"/>
      <c r="Z36" s="18"/>
    </row>
    <row r="37" spans="2:36" s="18" customFormat="1" ht="15.75">
      <c r="B37" s="39"/>
      <c r="C37" s="39"/>
      <c r="D37" s="39"/>
      <c r="E37" s="87"/>
      <c r="F37" s="87"/>
      <c r="G37" s="87"/>
      <c r="H37" s="86"/>
      <c r="I37" s="86"/>
      <c r="J37" s="86"/>
      <c r="K37" s="88"/>
      <c r="L37" s="60"/>
      <c r="M37" s="60"/>
      <c r="N37" s="89"/>
      <c r="O37" s="89"/>
      <c r="P37" s="89"/>
      <c r="Q37" s="78"/>
      <c r="R37" s="89"/>
      <c r="S37" s="39"/>
      <c r="V37" s="1"/>
      <c r="W37" s="1"/>
      <c r="X37" s="1"/>
      <c r="Y37" s="1"/>
      <c r="Z37" s="1"/>
      <c r="AJ37" s="21"/>
    </row>
    <row r="38" spans="2:36" ht="15.75">
      <c r="B38" s="84"/>
      <c r="C38" s="84"/>
      <c r="D38" s="84"/>
      <c r="E38" s="85"/>
      <c r="F38" s="85"/>
      <c r="G38" s="85"/>
      <c r="H38" s="86"/>
      <c r="I38" s="86"/>
      <c r="J38" s="86"/>
      <c r="K38" s="39"/>
      <c r="L38" s="39"/>
      <c r="M38" s="39"/>
      <c r="N38" s="39"/>
      <c r="O38" s="39"/>
      <c r="P38" s="39"/>
      <c r="Q38" s="78"/>
      <c r="R38" s="39"/>
      <c r="S38" s="39"/>
    </row>
    <row r="39" spans="2:36" ht="15.75">
      <c r="B39" s="39"/>
      <c r="C39" s="39"/>
      <c r="D39" s="39"/>
      <c r="E39" s="90"/>
      <c r="F39" s="90"/>
      <c r="G39" s="90"/>
      <c r="H39" s="82"/>
      <c r="I39" s="82"/>
      <c r="J39" s="82"/>
      <c r="K39" s="39"/>
      <c r="L39" s="39"/>
      <c r="M39" s="39"/>
      <c r="N39" s="39"/>
      <c r="O39" s="39"/>
      <c r="P39" s="39"/>
      <c r="Q39" s="91"/>
      <c r="R39" s="39"/>
      <c r="S39" s="39"/>
    </row>
    <row r="40" spans="2:36">
      <c r="B40" s="84"/>
      <c r="C40" s="84"/>
      <c r="D40" s="84"/>
      <c r="E40" s="92"/>
      <c r="F40" s="92"/>
      <c r="G40" s="92"/>
      <c r="H40" s="82"/>
      <c r="I40" s="82"/>
      <c r="J40" s="82"/>
      <c r="O40" s="39"/>
      <c r="P40" s="39"/>
      <c r="Q40" s="93"/>
      <c r="R40" s="39"/>
      <c r="S40" s="39"/>
    </row>
    <row r="41" spans="2:36">
      <c r="B41" s="39"/>
      <c r="C41" s="39"/>
      <c r="D41" s="39"/>
      <c r="E41" s="72"/>
      <c r="F41" s="72"/>
      <c r="G41" s="72"/>
      <c r="H41" s="94"/>
      <c r="I41" s="94"/>
      <c r="J41" s="94"/>
      <c r="K41" s="39"/>
      <c r="L41" s="39"/>
      <c r="M41" s="39"/>
      <c r="N41" s="39"/>
      <c r="O41" s="39"/>
      <c r="P41" s="39"/>
      <c r="Q41" s="39"/>
      <c r="R41" s="39"/>
      <c r="S41" s="39"/>
    </row>
    <row r="42" spans="2:36">
      <c r="B42" s="39"/>
      <c r="C42" s="39"/>
      <c r="D42" s="39"/>
      <c r="E42" s="81"/>
      <c r="F42" s="81"/>
      <c r="G42" s="81"/>
      <c r="H42" s="26"/>
      <c r="I42" s="26"/>
      <c r="J42" s="26"/>
      <c r="K42" s="1"/>
      <c r="O42" s="39"/>
      <c r="P42" s="39"/>
      <c r="Q42" s="39"/>
      <c r="R42" s="39"/>
      <c r="S42" s="39"/>
    </row>
    <row r="43" spans="2:36">
      <c r="B43" s="95"/>
      <c r="C43" s="95"/>
      <c r="D43" s="95"/>
      <c r="E43" s="96"/>
      <c r="F43" s="96"/>
      <c r="G43" s="96"/>
      <c r="H43" s="26"/>
      <c r="I43" s="26"/>
      <c r="J43" s="26"/>
      <c r="K43" s="97"/>
      <c r="O43" s="39"/>
      <c r="P43" s="39"/>
      <c r="Q43" s="39"/>
      <c r="R43" s="39"/>
      <c r="S43" s="39"/>
      <c r="AG43" s="98"/>
    </row>
    <row r="44" spans="2:36">
      <c r="B44" s="95"/>
      <c r="C44" s="95"/>
      <c r="D44" s="95"/>
      <c r="E44" s="96"/>
      <c r="F44" s="96"/>
      <c r="G44" s="96"/>
      <c r="H44" s="99"/>
      <c r="I44" s="99"/>
      <c r="J44" s="99"/>
      <c r="K44" s="100"/>
      <c r="L44" s="39"/>
      <c r="M44" s="39"/>
      <c r="N44" s="39"/>
      <c r="O44" s="39"/>
      <c r="P44" s="39"/>
      <c r="Q44" s="39"/>
      <c r="R44" s="39"/>
      <c r="S44" s="39"/>
      <c r="AG44" s="98"/>
    </row>
    <row r="45" spans="2:36">
      <c r="B45" s="95"/>
      <c r="C45" s="95"/>
      <c r="D45" s="95"/>
      <c r="E45" s="101"/>
      <c r="F45" s="101"/>
      <c r="G45" s="101"/>
      <c r="H45" s="94"/>
      <c r="I45" s="94"/>
      <c r="J45" s="94"/>
      <c r="K45" s="102"/>
      <c r="L45" s="39"/>
      <c r="M45" s="39"/>
      <c r="N45" s="39"/>
      <c r="O45" s="39"/>
      <c r="P45" s="39"/>
      <c r="Q45" s="39"/>
      <c r="R45" s="39"/>
      <c r="S45" s="39"/>
    </row>
    <row r="46" spans="2:36">
      <c r="B46" s="103"/>
      <c r="C46" s="103"/>
      <c r="D46" s="103"/>
      <c r="E46" s="104"/>
      <c r="F46" s="104"/>
      <c r="G46" s="104"/>
      <c r="H46" s="105"/>
      <c r="I46" s="105"/>
      <c r="J46" s="105"/>
      <c r="K46" s="106"/>
      <c r="L46" s="39"/>
      <c r="M46" s="39"/>
      <c r="N46" s="39"/>
      <c r="O46" s="39"/>
      <c r="P46" s="39"/>
      <c r="Q46" s="39"/>
      <c r="R46" s="39"/>
      <c r="S46" s="39"/>
    </row>
    <row r="47" spans="2:36">
      <c r="B47" s="107"/>
      <c r="C47" s="107"/>
      <c r="D47" s="107" t="s">
        <v>11</v>
      </c>
      <c r="E47" s="92"/>
      <c r="F47" s="92"/>
      <c r="G47" s="92"/>
      <c r="H47" s="94"/>
      <c r="I47" s="94"/>
      <c r="J47" s="94"/>
      <c r="K47" s="102"/>
      <c r="L47" s="39"/>
      <c r="M47" s="39"/>
      <c r="N47" s="39"/>
      <c r="O47" s="39"/>
      <c r="P47" s="39"/>
      <c r="Q47" s="39"/>
      <c r="R47" s="39"/>
      <c r="S47" s="39"/>
    </row>
    <row r="48" spans="2:36">
      <c r="B48" s="103"/>
      <c r="C48" s="103"/>
      <c r="D48" s="103"/>
      <c r="E48" s="104"/>
      <c r="F48" s="104"/>
      <c r="G48" s="104"/>
      <c r="H48" s="108"/>
      <c r="I48" s="108"/>
      <c r="J48" s="108"/>
      <c r="K48" s="106"/>
      <c r="L48" s="39"/>
      <c r="M48" s="39"/>
      <c r="N48" s="39"/>
      <c r="O48" s="39"/>
      <c r="P48" s="39"/>
      <c r="Q48" s="39"/>
      <c r="R48" s="39"/>
      <c r="S48" s="39"/>
    </row>
    <row r="49" spans="2:19">
      <c r="B49" s="107"/>
      <c r="C49" s="107"/>
      <c r="D49" s="107"/>
      <c r="E49" s="92"/>
      <c r="F49" s="92"/>
      <c r="G49" s="92"/>
      <c r="H49" s="108"/>
      <c r="I49" s="108"/>
      <c r="J49" s="108"/>
      <c r="K49" s="106"/>
      <c r="L49" s="39"/>
      <c r="M49" s="39"/>
      <c r="N49" s="106"/>
      <c r="O49" s="109"/>
      <c r="P49" s="39"/>
      <c r="Q49" s="39"/>
      <c r="R49" s="39"/>
      <c r="S49" s="39"/>
    </row>
    <row r="50" spans="2:19">
      <c r="B50" s="73"/>
      <c r="C50" s="73"/>
      <c r="D50" s="73"/>
      <c r="E50" s="104"/>
      <c r="F50" s="104"/>
      <c r="G50" s="104"/>
      <c r="H50" s="110"/>
      <c r="I50" s="110"/>
      <c r="J50" s="110"/>
      <c r="K50" s="106"/>
      <c r="L50" s="39"/>
      <c r="M50" s="39"/>
      <c r="N50" s="106"/>
      <c r="O50" s="109"/>
      <c r="P50" s="39"/>
      <c r="Q50" s="39"/>
      <c r="R50" s="39"/>
      <c r="S50" s="39"/>
    </row>
    <row r="51" spans="2:19">
      <c r="B51" s="107"/>
      <c r="C51" s="107"/>
      <c r="D51" s="107"/>
      <c r="E51" s="92"/>
      <c r="F51" s="92"/>
      <c r="G51" s="92"/>
      <c r="H51" s="94"/>
      <c r="I51" s="94"/>
      <c r="J51" s="94"/>
      <c r="K51" s="102"/>
      <c r="L51" s="39"/>
      <c r="M51" s="39"/>
      <c r="N51" s="111"/>
      <c r="O51" s="39"/>
      <c r="P51" s="39"/>
      <c r="Q51" s="39"/>
      <c r="R51" s="39"/>
      <c r="S51" s="39"/>
    </row>
    <row r="52" spans="2:19">
      <c r="B52" s="103"/>
      <c r="C52" s="103"/>
      <c r="D52" s="103"/>
      <c r="E52" s="104"/>
      <c r="F52" s="104"/>
      <c r="G52" s="104"/>
      <c r="H52" s="94"/>
      <c r="I52" s="94"/>
      <c r="J52" s="94"/>
      <c r="K52" s="102"/>
      <c r="L52" s="39"/>
      <c r="M52" s="39"/>
      <c r="N52" s="111"/>
      <c r="O52" s="39"/>
      <c r="P52" s="39"/>
      <c r="Q52" s="39"/>
      <c r="R52" s="39"/>
      <c r="S52" s="39"/>
    </row>
    <row r="53" spans="2:19">
      <c r="B53" s="107"/>
      <c r="C53" s="107"/>
      <c r="D53" s="107"/>
      <c r="E53" s="92"/>
      <c r="F53" s="92"/>
      <c r="G53" s="92"/>
      <c r="H53" s="94"/>
      <c r="I53" s="94"/>
      <c r="J53" s="94"/>
      <c r="K53" s="102"/>
      <c r="L53" s="39"/>
      <c r="M53" s="39"/>
      <c r="N53" s="111"/>
      <c r="O53" s="39"/>
      <c r="P53" s="39"/>
      <c r="Q53" s="39"/>
      <c r="R53" s="39"/>
      <c r="S53" s="39"/>
    </row>
    <row r="54" spans="2:19">
      <c r="B54" s="103"/>
      <c r="C54" s="103"/>
      <c r="D54" s="103"/>
      <c r="E54" s="104"/>
      <c r="F54" s="104"/>
      <c r="G54" s="104"/>
      <c r="H54" s="94"/>
      <c r="I54" s="94"/>
      <c r="J54" s="94"/>
      <c r="K54" s="102"/>
      <c r="L54" s="39"/>
      <c r="M54" s="39"/>
      <c r="N54" s="111"/>
      <c r="O54" s="39"/>
      <c r="P54" s="39"/>
      <c r="Q54" s="39"/>
      <c r="R54" s="39"/>
      <c r="S54" s="39"/>
    </row>
    <row r="55" spans="2:19">
      <c r="B55" s="107"/>
      <c r="C55" s="107"/>
      <c r="D55" s="107"/>
      <c r="E55" s="92"/>
      <c r="F55" s="92"/>
      <c r="G55" s="92"/>
      <c r="H55" s="94"/>
      <c r="I55" s="94"/>
      <c r="J55" s="94"/>
      <c r="K55" s="102"/>
      <c r="L55" s="39"/>
      <c r="M55" s="39"/>
      <c r="N55" s="111"/>
      <c r="O55" s="39"/>
      <c r="P55" s="39"/>
      <c r="Q55" s="39"/>
      <c r="R55" s="39"/>
      <c r="S55" s="39"/>
    </row>
    <row r="56" spans="2:19">
      <c r="B56" s="112"/>
      <c r="C56" s="112"/>
      <c r="D56" s="112"/>
      <c r="E56" s="104"/>
      <c r="F56" s="104"/>
      <c r="G56" s="104"/>
      <c r="H56" s="26"/>
      <c r="I56" s="26"/>
      <c r="J56" s="26"/>
      <c r="K56" s="39"/>
      <c r="L56" s="39"/>
      <c r="M56" s="39"/>
      <c r="N56" s="39"/>
      <c r="O56" s="39"/>
      <c r="P56" s="39"/>
      <c r="Q56" s="39"/>
      <c r="R56" s="39"/>
      <c r="S56" s="39"/>
    </row>
    <row r="57" spans="2:19">
      <c r="B57" s="107"/>
      <c r="C57" s="107"/>
      <c r="D57" s="107"/>
      <c r="E57" s="92"/>
      <c r="F57" s="92"/>
      <c r="G57" s="92"/>
      <c r="H57" s="113"/>
      <c r="I57" s="113"/>
      <c r="J57" s="113"/>
      <c r="K57" s="39"/>
      <c r="L57" s="114"/>
      <c r="M57" s="114"/>
      <c r="N57" s="39"/>
      <c r="O57" s="39"/>
      <c r="P57" s="39"/>
      <c r="Q57" s="39"/>
      <c r="R57" s="39"/>
      <c r="S57" s="39"/>
    </row>
    <row r="58" spans="2:19">
      <c r="B58" s="103"/>
      <c r="C58" s="103"/>
      <c r="D58" s="103"/>
      <c r="E58" s="81"/>
      <c r="F58" s="81"/>
      <c r="G58" s="81"/>
      <c r="H58" s="113"/>
      <c r="I58" s="113"/>
      <c r="J58" s="113"/>
      <c r="K58" s="39"/>
      <c r="L58" s="39"/>
      <c r="M58" s="39"/>
      <c r="N58" s="39"/>
      <c r="O58" s="39"/>
      <c r="P58" s="39"/>
      <c r="Q58" s="39"/>
      <c r="R58" s="39"/>
      <c r="S58" s="39"/>
    </row>
    <row r="59" spans="2:19">
      <c r="B59" s="107"/>
      <c r="C59" s="107"/>
      <c r="D59" s="107"/>
      <c r="E59" s="115"/>
      <c r="F59" s="115"/>
      <c r="G59" s="115"/>
      <c r="H59" s="116"/>
      <c r="I59" s="116"/>
      <c r="J59" s="116"/>
      <c r="K59" s="39"/>
      <c r="L59" s="39"/>
      <c r="M59" s="39"/>
      <c r="N59" s="39"/>
      <c r="O59" s="39"/>
      <c r="P59" s="39"/>
      <c r="Q59" s="39"/>
      <c r="R59" s="39"/>
      <c r="S59" s="39"/>
    </row>
    <row r="60" spans="2:19">
      <c r="B60" s="103"/>
      <c r="C60" s="103"/>
      <c r="D60" s="103"/>
      <c r="E60" s="117"/>
      <c r="F60" s="117"/>
      <c r="G60" s="117"/>
      <c r="H60" s="94"/>
      <c r="I60" s="94"/>
      <c r="J60" s="94"/>
      <c r="K60" s="39"/>
      <c r="L60" s="39"/>
      <c r="M60" s="39"/>
      <c r="N60" s="39"/>
      <c r="O60" s="39"/>
      <c r="P60" s="39"/>
      <c r="Q60" s="39"/>
      <c r="R60" s="39"/>
      <c r="S60" s="39"/>
    </row>
    <row r="61" spans="2:19">
      <c r="B61" s="107"/>
      <c r="C61" s="107"/>
      <c r="D61" s="107"/>
      <c r="E61" s="118"/>
      <c r="F61" s="118"/>
      <c r="G61" s="118"/>
      <c r="H61" s="94"/>
      <c r="I61" s="94"/>
      <c r="J61" s="94"/>
      <c r="K61" s="39"/>
      <c r="L61" s="39"/>
      <c r="M61" s="39"/>
      <c r="N61" s="39"/>
      <c r="O61" s="39"/>
      <c r="P61" s="39"/>
      <c r="Q61" s="39"/>
      <c r="R61" s="39"/>
      <c r="S61" s="39"/>
    </row>
    <row r="62" spans="2:19">
      <c r="B62" s="107"/>
      <c r="C62" s="107"/>
      <c r="D62" s="107"/>
      <c r="E62" s="81"/>
      <c r="F62" s="81"/>
      <c r="G62" s="81"/>
      <c r="H62" s="94"/>
      <c r="I62" s="94"/>
      <c r="J62" s="94"/>
      <c r="K62" s="39"/>
      <c r="L62" s="39"/>
      <c r="M62" s="39"/>
      <c r="N62" s="39"/>
      <c r="O62" s="39"/>
      <c r="P62" s="39"/>
      <c r="Q62" s="39"/>
      <c r="R62" s="39"/>
      <c r="S62" s="39"/>
    </row>
    <row r="63" spans="2:19">
      <c r="B63" s="119"/>
      <c r="C63" s="119"/>
      <c r="D63" s="119"/>
      <c r="E63" s="115"/>
      <c r="F63" s="115"/>
      <c r="G63" s="115"/>
      <c r="H63" s="94"/>
      <c r="I63" s="94"/>
      <c r="J63" s="94"/>
      <c r="K63" s="39"/>
      <c r="L63" s="39"/>
      <c r="M63" s="39"/>
      <c r="N63" s="39"/>
      <c r="O63" s="39"/>
      <c r="P63" s="39"/>
      <c r="Q63" s="39"/>
      <c r="R63" s="39"/>
      <c r="S63" s="39"/>
    </row>
    <row r="64" spans="2:19">
      <c r="B64" s="103"/>
      <c r="C64" s="103"/>
      <c r="D64" s="103"/>
      <c r="E64" s="81"/>
      <c r="F64" s="81"/>
      <c r="G64" s="81"/>
      <c r="H64" s="39"/>
      <c r="I64" s="39"/>
      <c r="J64" s="39"/>
      <c r="K64" s="39"/>
      <c r="L64" s="39"/>
      <c r="M64" s="39"/>
      <c r="N64" s="39"/>
      <c r="O64" s="39"/>
      <c r="P64" s="39"/>
      <c r="Q64" s="39"/>
      <c r="R64" s="39"/>
      <c r="S64" s="39"/>
    </row>
    <row r="65" spans="2:26">
      <c r="B65" s="103"/>
      <c r="C65" s="103"/>
      <c r="D65" s="103"/>
      <c r="E65" s="120"/>
      <c r="F65" s="120"/>
      <c r="G65" s="120"/>
      <c r="H65" s="39"/>
      <c r="I65" s="39"/>
      <c r="J65" s="39"/>
      <c r="K65" s="39"/>
      <c r="L65" s="39"/>
      <c r="M65" s="39"/>
      <c r="N65" s="39"/>
      <c r="O65" s="39"/>
      <c r="P65" s="39"/>
      <c r="Q65" s="39"/>
      <c r="R65" s="39"/>
      <c r="S65" s="39"/>
    </row>
    <row r="66" spans="2:26">
      <c r="B66" s="103"/>
      <c r="C66" s="103"/>
      <c r="D66" s="103"/>
      <c r="E66" s="81"/>
      <c r="F66" s="81"/>
      <c r="G66" s="81"/>
      <c r="H66" s="39"/>
      <c r="I66" s="39"/>
      <c r="J66" s="39"/>
      <c r="K66" s="39"/>
      <c r="L66" s="39"/>
      <c r="M66" s="39"/>
      <c r="N66" s="39"/>
      <c r="O66" s="39"/>
      <c r="P66" s="39"/>
      <c r="Q66" s="39"/>
      <c r="R66" s="39"/>
      <c r="S66" s="39"/>
    </row>
    <row r="67" spans="2:26">
      <c r="B67" s="69"/>
      <c r="C67" s="69"/>
      <c r="D67" s="69"/>
      <c r="E67" s="121"/>
      <c r="F67" s="121"/>
      <c r="G67" s="121"/>
      <c r="H67" s="39"/>
      <c r="I67" s="39"/>
      <c r="J67" s="39"/>
      <c r="K67" s="39"/>
      <c r="L67" s="39"/>
      <c r="M67" s="39"/>
      <c r="N67" s="39"/>
      <c r="O67" s="39"/>
      <c r="P67" s="39"/>
      <c r="Q67" s="39"/>
      <c r="R67" s="39"/>
      <c r="S67" s="39"/>
    </row>
    <row r="68" spans="2:26">
      <c r="H68" s="39"/>
      <c r="I68" s="39"/>
      <c r="J68" s="39"/>
      <c r="K68" s="39"/>
      <c r="L68" s="39"/>
      <c r="M68" s="39"/>
      <c r="N68" s="39"/>
      <c r="O68" s="39"/>
      <c r="P68" s="39"/>
      <c r="Q68" s="39"/>
      <c r="R68" s="39"/>
      <c r="S68" s="39"/>
    </row>
    <row r="69" spans="2:26">
      <c r="H69" s="39"/>
      <c r="I69" s="39"/>
      <c r="J69" s="39"/>
      <c r="K69" s="89"/>
      <c r="L69" s="39"/>
      <c r="M69" s="39"/>
      <c r="N69" s="39"/>
      <c r="O69" s="39"/>
      <c r="P69" s="39"/>
      <c r="Q69" s="39"/>
      <c r="R69" s="39"/>
      <c r="S69" s="39"/>
      <c r="T69" s="39"/>
      <c r="U69" s="39"/>
      <c r="V69" s="39"/>
      <c r="W69" s="39"/>
      <c r="X69" s="39"/>
      <c r="Y69" s="39"/>
      <c r="Z69" s="39"/>
    </row>
    <row r="70" spans="2:26">
      <c r="H70" s="39"/>
      <c r="I70" s="39"/>
      <c r="J70" s="39"/>
      <c r="K70" s="89"/>
      <c r="L70" s="39"/>
      <c r="M70" s="39"/>
      <c r="N70" s="39"/>
      <c r="O70" s="39"/>
      <c r="P70" s="39"/>
      <c r="Q70" s="39"/>
      <c r="R70" s="39"/>
      <c r="S70" s="39"/>
      <c r="T70" s="39"/>
      <c r="U70" s="39"/>
      <c r="V70" s="39"/>
      <c r="W70" s="39"/>
      <c r="X70" s="39"/>
      <c r="Y70" s="39"/>
      <c r="Z70" s="39"/>
    </row>
    <row r="71" spans="2:26">
      <c r="H71" s="39"/>
      <c r="I71" s="39"/>
      <c r="J71" s="39"/>
      <c r="K71" s="89"/>
      <c r="L71" s="39"/>
      <c r="M71" s="39"/>
      <c r="N71" s="39"/>
      <c r="O71" s="39"/>
      <c r="P71" s="39"/>
      <c r="Q71" s="39"/>
      <c r="R71" s="39"/>
      <c r="S71" s="39"/>
      <c r="T71" s="39"/>
      <c r="U71" s="39"/>
      <c r="V71" s="39"/>
      <c r="W71" s="39"/>
      <c r="X71" s="39"/>
      <c r="Y71" s="39"/>
      <c r="Z71" s="39"/>
    </row>
    <row r="72" spans="2:26">
      <c r="H72" s="39"/>
      <c r="I72" s="39"/>
      <c r="J72" s="39"/>
      <c r="K72" s="89"/>
      <c r="L72" s="39"/>
      <c r="M72" s="39"/>
      <c r="N72" s="39"/>
      <c r="O72" s="39"/>
      <c r="P72" s="39"/>
      <c r="Q72" s="39"/>
      <c r="R72" s="39"/>
      <c r="S72" s="39"/>
      <c r="T72" s="39"/>
      <c r="U72" s="39"/>
      <c r="V72" s="39"/>
      <c r="W72" s="39"/>
      <c r="X72" s="39"/>
      <c r="Y72" s="39"/>
      <c r="Z72" s="39"/>
    </row>
    <row r="73" spans="2:26">
      <c r="H73" s="39"/>
      <c r="I73" s="39"/>
      <c r="J73" s="39"/>
      <c r="K73" s="89"/>
      <c r="L73" s="39"/>
      <c r="M73" s="39"/>
      <c r="N73" s="39"/>
      <c r="O73" s="39"/>
      <c r="P73" s="39"/>
      <c r="Q73" s="39"/>
      <c r="R73" s="39"/>
      <c r="S73" s="39"/>
      <c r="T73" s="39"/>
      <c r="U73" s="39"/>
      <c r="V73" s="39"/>
      <c r="W73" s="39"/>
      <c r="X73" s="39"/>
      <c r="Y73" s="39"/>
      <c r="Z73" s="39"/>
    </row>
    <row r="74" spans="2:26">
      <c r="H74" s="39"/>
      <c r="I74" s="39"/>
      <c r="J74" s="39"/>
      <c r="K74" s="89"/>
      <c r="L74" s="39"/>
      <c r="M74" s="39"/>
      <c r="N74" s="39"/>
      <c r="O74" s="39"/>
      <c r="P74" s="39"/>
      <c r="Q74" s="39"/>
      <c r="R74" s="39"/>
      <c r="S74" s="39"/>
      <c r="T74" s="39"/>
      <c r="U74" s="39"/>
      <c r="V74" s="39"/>
      <c r="W74" s="39"/>
      <c r="X74" s="39"/>
      <c r="Y74" s="39"/>
      <c r="Z74" s="39"/>
    </row>
    <row r="75" spans="2:26">
      <c r="H75" s="39"/>
      <c r="I75" s="39"/>
      <c r="J75" s="39"/>
      <c r="K75" s="89"/>
      <c r="L75" s="39"/>
      <c r="M75" s="39"/>
      <c r="N75" s="39"/>
      <c r="O75" s="39"/>
      <c r="P75" s="39"/>
      <c r="Q75" s="39"/>
      <c r="R75" s="39"/>
      <c r="S75" s="39"/>
      <c r="T75" s="39"/>
      <c r="U75" s="39"/>
      <c r="V75" s="39"/>
      <c r="W75" s="39"/>
      <c r="X75" s="39"/>
      <c r="Y75" s="39"/>
      <c r="Z75" s="39"/>
    </row>
    <row r="76" spans="2:26">
      <c r="H76" s="39"/>
      <c r="I76" s="39"/>
      <c r="J76" s="39"/>
      <c r="K76" s="89"/>
      <c r="L76" s="39"/>
      <c r="M76" s="39"/>
      <c r="N76" s="39"/>
      <c r="O76" s="39"/>
      <c r="P76" s="39"/>
      <c r="Q76" s="39"/>
      <c r="R76" s="39"/>
      <c r="S76" s="39"/>
      <c r="T76" s="39"/>
      <c r="U76" s="39"/>
      <c r="V76" s="39"/>
      <c r="W76" s="39"/>
      <c r="X76" s="39"/>
      <c r="Y76" s="39"/>
      <c r="Z76" s="39"/>
    </row>
    <row r="77" spans="2:26">
      <c r="H77" s="39"/>
      <c r="I77" s="39"/>
      <c r="J77" s="39"/>
      <c r="K77" s="1"/>
      <c r="U77" s="57"/>
      <c r="Y77" s="39"/>
      <c r="Z77" s="39"/>
    </row>
    <row r="78" spans="2:26">
      <c r="H78" s="39"/>
      <c r="I78" s="39"/>
      <c r="J78" s="39"/>
      <c r="K78" s="1"/>
      <c r="U78" s="57"/>
      <c r="Y78" s="39"/>
      <c r="Z78" s="39"/>
    </row>
    <row r="79" spans="2:26">
      <c r="H79" s="39"/>
      <c r="I79" s="39"/>
      <c r="J79" s="39"/>
      <c r="K79" s="1"/>
      <c r="U79" s="57"/>
      <c r="Y79" s="39"/>
      <c r="Z79" s="39"/>
    </row>
    <row r="80" spans="2:26">
      <c r="H80" s="39"/>
      <c r="I80" s="39"/>
      <c r="J80" s="39"/>
      <c r="K80" s="1"/>
      <c r="U80" s="57"/>
      <c r="Y80" s="39"/>
      <c r="Z80" s="39"/>
    </row>
    <row r="81" spans="8:26">
      <c r="H81" s="18"/>
      <c r="I81" s="18"/>
      <c r="J81" s="18"/>
      <c r="K81" s="1"/>
      <c r="U81" s="57"/>
      <c r="Y81" s="39"/>
      <c r="Z81" s="39"/>
    </row>
    <row r="82" spans="8:26">
      <c r="H82" s="18"/>
      <c r="I82" s="18"/>
      <c r="J82" s="18"/>
      <c r="K82" s="1"/>
      <c r="U82" s="57"/>
      <c r="Y82" s="39"/>
      <c r="Z82" s="39"/>
    </row>
    <row r="83" spans="8:26">
      <c r="H83" s="18"/>
      <c r="I83" s="18"/>
      <c r="J83" s="18"/>
      <c r="Y83" s="39"/>
      <c r="Z83" s="39"/>
    </row>
    <row r="84" spans="8:26">
      <c r="H84" s="18"/>
      <c r="I84" s="18"/>
      <c r="J84" s="18"/>
      <c r="Y84" s="39"/>
      <c r="Z84" s="39"/>
    </row>
    <row r="85" spans="8:26">
      <c r="H85" s="18"/>
      <c r="I85" s="18"/>
      <c r="J85" s="18"/>
      <c r="L85" s="39"/>
      <c r="M85" s="39"/>
      <c r="N85" s="39"/>
      <c r="O85" s="39"/>
      <c r="P85" s="39"/>
      <c r="Q85" s="39"/>
      <c r="R85" s="39"/>
      <c r="S85" s="39"/>
      <c r="T85" s="39"/>
      <c r="U85" s="39"/>
      <c r="V85" s="39"/>
      <c r="W85" s="39"/>
      <c r="X85" s="39"/>
      <c r="Y85" s="39"/>
      <c r="Z85" s="39"/>
    </row>
    <row r="86" spans="8:26">
      <c r="H86" s="18"/>
      <c r="I86" s="18"/>
      <c r="J86" s="18"/>
    </row>
    <row r="87" spans="8:26">
      <c r="H87" s="18"/>
      <c r="I87" s="18"/>
      <c r="J87" s="18"/>
    </row>
    <row r="88" spans="8:26">
      <c r="H88" s="18"/>
      <c r="I88" s="18"/>
      <c r="J88" s="18"/>
    </row>
    <row r="89" spans="8:26">
      <c r="H89" s="89"/>
      <c r="I89" s="89"/>
      <c r="J89" s="89"/>
    </row>
    <row r="96" spans="8:26">
      <c r="L96" s="18"/>
      <c r="M96" s="18"/>
    </row>
    <row r="97" spans="12:13">
      <c r="L97" s="18"/>
      <c r="M97" s="18"/>
    </row>
    <row r="98" spans="12:13">
      <c r="L98" s="18"/>
      <c r="M98" s="18"/>
    </row>
    <row r="99" spans="12:13">
      <c r="L99" s="18"/>
      <c r="M99" s="18"/>
    </row>
    <row r="100" spans="12:13">
      <c r="L100" s="18"/>
      <c r="M100" s="18"/>
    </row>
    <row r="101" spans="12:13">
      <c r="L101" s="18"/>
      <c r="M101" s="18"/>
    </row>
    <row r="102" spans="12:13">
      <c r="L102" s="18"/>
      <c r="M102" s="18"/>
    </row>
  </sheetData>
  <mergeCells count="7">
    <mergeCell ref="B12:H12"/>
    <mergeCell ref="B2:H2"/>
    <mergeCell ref="B3:H3"/>
    <mergeCell ref="C4:G5"/>
    <mergeCell ref="B7:C10"/>
    <mergeCell ref="E7:E10"/>
    <mergeCell ref="G7:H10"/>
  </mergeCells>
  <hyperlinks>
    <hyperlink ref="F9" r:id="rId1" xr:uid="{BB68BACE-F8AA-4939-81AE-0B1D88C7A11C}"/>
    <hyperlink ref="F8" r:id="rId2" xr:uid="{B9A76BFC-FC6F-4F04-8DA9-AEC20EE8F4DE}"/>
    <hyperlink ref="F10" r:id="rId3" display="Tier 1 Pathway Application Process" xr:uid="{0283F633-2B01-4C4C-967F-8175DE40240F}"/>
  </hyperlinks>
  <pageMargins left="0.7" right="0.7" top="0.75" bottom="0.75" header="0.3" footer="0.3"/>
  <pageSetup orientation="portrait" r:id="rId4"/>
  <drawing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5EB28-BF47-432D-BA18-0116CA2D266F}">
  <sheetPr codeName="PathwaySummary">
    <tabColor rgb="FF7030A0"/>
    <pageSetUpPr fitToPage="1"/>
  </sheetPr>
  <dimension ref="A1:I96"/>
  <sheetViews>
    <sheetView zoomScaleNormal="100" workbookViewId="0">
      <selection activeCell="B11" sqref="B11"/>
    </sheetView>
  </sheetViews>
  <sheetFormatPr defaultColWidth="9.140625" defaultRowHeight="14.25"/>
  <cols>
    <col min="1" max="1" width="64" style="122" customWidth="1"/>
    <col min="2" max="2" width="52.28515625" style="122" customWidth="1"/>
    <col min="3" max="3" width="24.85546875" style="122" bestFit="1" customWidth="1"/>
    <col min="4" max="4" width="27.85546875" style="122" customWidth="1"/>
    <col min="5" max="5" width="41.140625" style="122" customWidth="1"/>
    <col min="6" max="6" width="22.7109375" style="122" customWidth="1"/>
    <col min="7" max="7" width="37.140625" style="122" customWidth="1"/>
    <col min="8" max="8" width="27.85546875" style="122" customWidth="1"/>
    <col min="9" max="9" width="13.42578125" style="122" customWidth="1"/>
    <col min="10" max="16384" width="9.140625" style="122"/>
  </cols>
  <sheetData>
    <row r="1" spans="1:6" ht="48" customHeight="1" thickBot="1">
      <c r="A1" s="922" t="s">
        <v>12</v>
      </c>
      <c r="B1" s="923"/>
      <c r="C1" s="923"/>
      <c r="D1" s="923"/>
      <c r="E1" s="924" t="s">
        <v>13</v>
      </c>
      <c r="F1" s="925"/>
    </row>
    <row r="2" spans="1:6" ht="27" customHeight="1">
      <c r="A2" s="123" t="s">
        <v>14</v>
      </c>
      <c r="B2" s="926" t="s">
        <v>15</v>
      </c>
      <c r="C2" s="927"/>
      <c r="D2" s="927"/>
      <c r="E2" s="124" t="s">
        <v>16</v>
      </c>
      <c r="F2" s="125" t="s">
        <v>17</v>
      </c>
    </row>
    <row r="3" spans="1:6" ht="27" customHeight="1">
      <c r="A3" s="126" t="s">
        <v>18</v>
      </c>
      <c r="B3" s="928" t="str">
        <f>IF('Biogas-to-RNG'!C15="","",'Biogas-to-RNG'!C15)</f>
        <v/>
      </c>
      <c r="C3" s="928"/>
      <c r="D3" s="928"/>
      <c r="E3" s="127" t="s">
        <v>19</v>
      </c>
      <c r="F3" s="128" t="str">
        <f>IF(F59=0,"N/A",F59)</f>
        <v>N/A</v>
      </c>
    </row>
    <row r="4" spans="1:6" s="131" customFormat="1" ht="22.5" customHeight="1">
      <c r="A4" s="129" t="s">
        <v>20</v>
      </c>
      <c r="B4" s="928" t="str">
        <f>IF('Biogas-to-RNG'!C18="","",'Biogas-to-RNG'!C18)</f>
        <v/>
      </c>
      <c r="C4" s="928"/>
      <c r="D4" s="928"/>
      <c r="E4" s="127" t="s">
        <v>21</v>
      </c>
      <c r="F4" s="130" t="s">
        <v>22</v>
      </c>
    </row>
    <row r="5" spans="1:6" s="131" customFormat="1" ht="36.6" customHeight="1">
      <c r="A5" s="132" t="s">
        <v>23</v>
      </c>
      <c r="B5" s="929"/>
      <c r="C5" s="929"/>
      <c r="D5" s="929"/>
      <c r="E5" s="133" t="s">
        <v>24</v>
      </c>
      <c r="F5" s="134" t="s">
        <v>22</v>
      </c>
    </row>
    <row r="6" spans="1:6" s="131" customFormat="1" ht="24.6" customHeight="1">
      <c r="A6" s="135"/>
      <c r="B6" s="916"/>
      <c r="C6" s="916"/>
      <c r="D6" s="916"/>
      <c r="E6" s="127" t="s">
        <v>25</v>
      </c>
      <c r="F6" s="136" t="str">
        <f>IF('Biogas-to-RNG'!B28&lt;&gt;"", 'Biogas-to-RNG'!B28, "")</f>
        <v/>
      </c>
    </row>
    <row r="7" spans="1:6" s="131" customFormat="1" ht="27" customHeight="1" thickBot="1">
      <c r="A7" s="137"/>
      <c r="B7" s="138"/>
      <c r="C7" s="138"/>
      <c r="D7" s="138"/>
      <c r="E7" s="139" t="s">
        <v>26</v>
      </c>
      <c r="F7" s="140" t="str">
        <f>IF('Biogas-to-RNG'!J24&lt;&gt;0, 'Biogas-to-RNG'!J24, "")</f>
        <v/>
      </c>
    </row>
    <row r="8" spans="1:6" s="145" customFormat="1" ht="25.5" customHeight="1">
      <c r="A8" s="141" t="s">
        <v>27</v>
      </c>
      <c r="B8" s="142" t="s">
        <v>28</v>
      </c>
      <c r="C8" s="143" t="s">
        <v>29</v>
      </c>
      <c r="D8" s="144" t="s">
        <v>30</v>
      </c>
      <c r="E8" s="917" t="s">
        <v>31</v>
      </c>
      <c r="F8" s="918"/>
    </row>
    <row r="9" spans="1:6" ht="15">
      <c r="A9" s="146" t="s">
        <v>32</v>
      </c>
      <c r="B9" s="147"/>
      <c r="C9" s="148"/>
      <c r="D9" s="149"/>
      <c r="E9" s="150"/>
      <c r="F9" s="165"/>
    </row>
    <row r="10" spans="1:6">
      <c r="A10" s="151" t="s">
        <v>33</v>
      </c>
      <c r="B10" s="152">
        <f>IFERROR(AVERAGE('Manure-to-Biogas (LOP Inputs)'!D9:D32),0)+IFERROR(AVERAGE('Manure-to-Biogas (LOP Inputs)'!R9:R32),0)+IFERROR(AVERAGE('Manure-to-Biogas (LOP Inputs)'!AF9:AF32),0)+IFERROR(AVERAGE('Manure-to-Biogas (LOP Inputs)'!AT9:AT32),0)+IFERROR(AVERAGE('Manure-to-Biogas (LOP Inputs)'!BH9:BH32),0)+IFERROR(AVERAGE('Manure-to-Biogas (LOP Inputs)'!BV9:BV32),0)</f>
        <v>0</v>
      </c>
      <c r="C10" s="148" t="s">
        <v>34</v>
      </c>
      <c r="D10" s="149"/>
      <c r="E10" s="150"/>
      <c r="F10" s="165"/>
    </row>
    <row r="11" spans="1:6">
      <c r="A11" s="151" t="s">
        <v>35</v>
      </c>
      <c r="B11" s="153">
        <f>IFERROR(SUMPRODUCT('Manure-to-Biogas (LOP Inputs)'!G9:G32,'Manure-to-Biogas (LOP Inputs)'!F9:F32)/SUM('Manure-to-Biogas (LOP Inputs)'!F9:F32),0)</f>
        <v>0</v>
      </c>
      <c r="C11" s="148" t="s">
        <v>36</v>
      </c>
      <c r="D11" s="149"/>
      <c r="E11" s="150"/>
      <c r="F11" s="165"/>
    </row>
    <row r="12" spans="1:6">
      <c r="A12" s="151" t="s">
        <v>37</v>
      </c>
      <c r="B12" s="154" t="str">
        <f>IF(COUNTIF('Manure-to-Biogas (LOP Inputs)'!L9:L32,"&gt;0")&lt;COUNT('Manure-to-Biogas (LOP Inputs)'!L9:L32), "YES","NO")</f>
        <v>YES</v>
      </c>
      <c r="C12" s="155"/>
      <c r="D12" s="149"/>
      <c r="E12" s="150"/>
      <c r="F12" s="165"/>
    </row>
    <row r="13" spans="1:6">
      <c r="A13" s="151" t="s">
        <v>38</v>
      </c>
      <c r="B13" s="147" t="str">
        <f>'Avoided Emissions'!C4</f>
        <v>Covered Lagoon</v>
      </c>
      <c r="C13" s="155"/>
      <c r="D13" s="149"/>
      <c r="E13" s="150"/>
      <c r="F13" s="165"/>
    </row>
    <row r="14" spans="1:6" ht="15">
      <c r="A14" s="156" t="s">
        <v>39</v>
      </c>
      <c r="B14" s="157" t="str">
        <f>'Biogas-to-RNG'!D24</f>
        <v>CAMX</v>
      </c>
      <c r="C14" s="155"/>
      <c r="D14" s="149"/>
      <c r="E14" s="150"/>
      <c r="F14" s="165"/>
    </row>
    <row r="15" spans="1:6">
      <c r="A15" s="151"/>
      <c r="B15" s="147"/>
      <c r="C15" s="155"/>
      <c r="D15" s="149"/>
      <c r="E15" s="150"/>
      <c r="F15" s="165"/>
    </row>
    <row r="16" spans="1:6" ht="15">
      <c r="A16" s="146" t="s">
        <v>40</v>
      </c>
      <c r="B16" s="154"/>
      <c r="C16" s="155"/>
      <c r="D16" s="149"/>
      <c r="E16" s="150"/>
      <c r="F16" s="165"/>
    </row>
    <row r="17" spans="1:6">
      <c r="A17" s="151" t="s">
        <v>41</v>
      </c>
      <c r="B17" s="158">
        <f>'Biogas-to-RNG'!I52</f>
        <v>0</v>
      </c>
      <c r="C17" s="148" t="s">
        <v>42</v>
      </c>
      <c r="D17" s="149"/>
      <c r="E17" s="150"/>
      <c r="F17" s="165"/>
    </row>
    <row r="18" spans="1:6">
      <c r="A18" s="151" t="s">
        <v>43</v>
      </c>
      <c r="B18" s="158">
        <f>'Biogas-to-RNG'!K52</f>
        <v>0</v>
      </c>
      <c r="C18" s="148" t="s">
        <v>44</v>
      </c>
      <c r="D18" s="149"/>
      <c r="E18" s="150"/>
      <c r="F18" s="165"/>
    </row>
    <row r="19" spans="1:6" ht="16.5" customHeight="1">
      <c r="A19" s="151" t="s">
        <v>45</v>
      </c>
      <c r="B19" s="147">
        <f>IFERROR(('Manure-to-Biogas (LOP Inputs)'!N33+'Manure-to-Biogas (LOP Inputs)'!AB33+'Manure-to-Biogas (LOP Inputs)'!AP33+'Manure-to-Biogas (LOP Inputs)'!BD33+'Manure-to-Biogas (LOP Inputs)'!BR33+'Manure-to-Biogas (LOP Inputs)'!CF33)/'Manure-to-Biogas (LOP Inputs)'!B9,0)</f>
        <v>0</v>
      </c>
      <c r="C19" s="148" t="s">
        <v>46</v>
      </c>
      <c r="D19" s="149"/>
      <c r="E19" s="150"/>
      <c r="F19" s="165"/>
    </row>
    <row r="20" spans="1:6" ht="18.75">
      <c r="A20" s="151" t="s">
        <v>47</v>
      </c>
      <c r="B20" s="147">
        <f>IFERROR('Manure-to-Biogas (LOP Inputs)'!J47/'Manure-to-Biogas (LOP Inputs)'!B9,0)</f>
        <v>0</v>
      </c>
      <c r="C20" s="148" t="s">
        <v>46</v>
      </c>
      <c r="D20" s="149"/>
      <c r="E20" s="150"/>
      <c r="F20" s="165"/>
    </row>
    <row r="21" spans="1:6" ht="16.5">
      <c r="A21" s="159" t="s">
        <v>48</v>
      </c>
      <c r="B21" s="157">
        <f>SUM(B19:B20)</f>
        <v>0</v>
      </c>
      <c r="C21" s="160" t="s">
        <v>49</v>
      </c>
      <c r="D21" s="149"/>
      <c r="E21" s="150" t="s">
        <v>50</v>
      </c>
      <c r="F21" s="165">
        <f>'Biogas-to-RNG'!G95+'Biogas-to-RNG'!G96</f>
        <v>0</v>
      </c>
    </row>
    <row r="22" spans="1:6" ht="15">
      <c r="A22" s="161"/>
      <c r="B22" s="157"/>
      <c r="C22" s="160"/>
      <c r="D22" s="149"/>
      <c r="E22" s="150"/>
      <c r="F22" s="165"/>
    </row>
    <row r="23" spans="1:6" ht="15">
      <c r="A23" s="161"/>
      <c r="B23" s="157"/>
      <c r="C23" s="160"/>
      <c r="D23" s="149"/>
      <c r="E23" s="150"/>
      <c r="F23" s="165"/>
    </row>
    <row r="24" spans="1:6">
      <c r="A24" s="162"/>
      <c r="B24" s="875"/>
      <c r="C24" s="155"/>
      <c r="D24" s="149"/>
      <c r="E24" s="150"/>
      <c r="F24" s="165"/>
    </row>
    <row r="25" spans="1:6" ht="15">
      <c r="A25" s="146" t="s">
        <v>51</v>
      </c>
      <c r="B25" s="147"/>
      <c r="C25" s="148"/>
      <c r="D25" s="149"/>
      <c r="E25" s="150"/>
      <c r="F25" s="165"/>
    </row>
    <row r="26" spans="1:6">
      <c r="A26" s="151" t="s">
        <v>52</v>
      </c>
      <c r="B26" s="147">
        <f>'Biogas-to-RNG'!G52</f>
        <v>0</v>
      </c>
      <c r="C26" s="148" t="s">
        <v>53</v>
      </c>
      <c r="D26" s="149"/>
      <c r="E26" s="150"/>
      <c r="F26" s="165"/>
    </row>
    <row r="27" spans="1:6">
      <c r="A27" s="151" t="s">
        <v>54</v>
      </c>
      <c r="B27" s="163">
        <f>'Biogas-to-RNG'!H52</f>
        <v>0</v>
      </c>
      <c r="C27" s="148" t="s">
        <v>55</v>
      </c>
      <c r="D27" s="149"/>
      <c r="E27" s="150"/>
      <c r="F27" s="165"/>
    </row>
    <row r="28" spans="1:6" ht="18.75">
      <c r="A28" s="151" t="s">
        <v>56</v>
      </c>
      <c r="B28" s="147">
        <f>IFERROR(('Biogas-to-RNG'!D53*Reference!E52/1000000)/F7,0)</f>
        <v>0</v>
      </c>
      <c r="C28" s="148" t="s">
        <v>46</v>
      </c>
      <c r="D28" s="149"/>
      <c r="E28" s="150" t="s">
        <v>57</v>
      </c>
      <c r="F28" s="165">
        <f>'Biogas-to-RNG'!G70+SUM('Biogas-to-RNG'!G71:G77)</f>
        <v>0</v>
      </c>
    </row>
    <row r="29" spans="1:6" ht="18.75">
      <c r="A29" s="151" t="s">
        <v>58</v>
      </c>
      <c r="B29" s="147">
        <f>'Avoided Emissions'!D32</f>
        <v>0</v>
      </c>
      <c r="C29" s="148" t="s">
        <v>46</v>
      </c>
      <c r="D29" s="149"/>
      <c r="E29" s="150"/>
      <c r="F29" s="165"/>
    </row>
    <row r="30" spans="1:6" ht="18.75">
      <c r="A30" s="151" t="s">
        <v>59</v>
      </c>
      <c r="B30" s="147">
        <f>'Avoided Emissions'!E32</f>
        <v>0</v>
      </c>
      <c r="C30" s="148" t="s">
        <v>46</v>
      </c>
      <c r="D30" s="149"/>
      <c r="E30" s="150"/>
      <c r="F30" s="165"/>
    </row>
    <row r="31" spans="1:6" ht="18.75">
      <c r="A31" s="151" t="s">
        <v>60</v>
      </c>
      <c r="B31" s="147">
        <f>IFERROR('Manure-to-Biogas (LOP Inputs)'!J108/'Manure-to-Biogas (LOP Inputs)'!B9,0)</f>
        <v>0</v>
      </c>
      <c r="C31" s="148" t="s">
        <v>46</v>
      </c>
      <c r="D31" s="149"/>
      <c r="E31" s="150" t="s">
        <v>61</v>
      </c>
      <c r="F31" s="165">
        <f>'Biogas-to-RNG'!G80</f>
        <v>0</v>
      </c>
    </row>
    <row r="32" spans="1:6" ht="18.75">
      <c r="A32" s="151" t="s">
        <v>62</v>
      </c>
      <c r="B32" s="147">
        <f>'Avoided Emissions'!G32</f>
        <v>0</v>
      </c>
      <c r="C32" s="148" t="s">
        <v>46</v>
      </c>
      <c r="D32" s="149"/>
      <c r="E32" s="150" t="s">
        <v>63</v>
      </c>
      <c r="F32" s="165">
        <f>'Biogas-to-RNG'!G79</f>
        <v>0</v>
      </c>
    </row>
    <row r="33" spans="1:6" ht="18.75">
      <c r="A33" s="151" t="s">
        <v>64</v>
      </c>
      <c r="B33" s="147">
        <f>IFERROR(('Biogas-to-RNG'!H53*Reference!E52/1000000)/F7*'Biogas-to-RNG'!AH55,0)</f>
        <v>0</v>
      </c>
      <c r="C33" s="148" t="s">
        <v>46</v>
      </c>
      <c r="D33" s="149"/>
      <c r="E33" s="150"/>
      <c r="F33" s="165"/>
    </row>
    <row r="34" spans="1:6" ht="18.75">
      <c r="A34" s="151" t="s">
        <v>63</v>
      </c>
      <c r="B34" s="147">
        <f>IFERROR(('Biogas-to-RNG'!AC53*Reference!E52/1000000)/F7,0)</f>
        <v>0</v>
      </c>
      <c r="C34" s="148" t="s">
        <v>46</v>
      </c>
      <c r="D34" s="149"/>
      <c r="E34" s="150"/>
      <c r="F34" s="165"/>
    </row>
    <row r="35" spans="1:6" ht="16.5">
      <c r="A35" s="159" t="s">
        <v>65</v>
      </c>
      <c r="B35" s="157">
        <f>SUM(B29:B34)</f>
        <v>0</v>
      </c>
      <c r="C35" s="160" t="s">
        <v>49</v>
      </c>
      <c r="D35" s="149"/>
      <c r="E35" s="164" t="s">
        <v>66</v>
      </c>
      <c r="F35" s="165">
        <f>'Biogas-to-RNG'!G82+'Biogas-to-RNG'!G83</f>
        <v>0</v>
      </c>
    </row>
    <row r="36" spans="1:6" ht="16.5">
      <c r="A36" s="159" t="s">
        <v>67</v>
      </c>
      <c r="B36" s="166">
        <f>IFERROR(1-(B35/B21),0)</f>
        <v>0</v>
      </c>
      <c r="C36" s="160" t="s">
        <v>68</v>
      </c>
      <c r="D36" s="149"/>
      <c r="E36" s="150"/>
      <c r="F36" s="165"/>
    </row>
    <row r="37" spans="1:6" ht="15">
      <c r="A37" s="159"/>
      <c r="B37" s="166"/>
      <c r="C37" s="160"/>
      <c r="D37" s="149"/>
      <c r="E37" s="150"/>
      <c r="F37" s="165"/>
    </row>
    <row r="38" spans="1:6" ht="15">
      <c r="A38" s="167" t="s">
        <v>69</v>
      </c>
      <c r="B38" s="166" t="str">
        <f>'Biogas-to-RNG'!B82</f>
        <v>US Average</v>
      </c>
      <c r="C38" s="160"/>
      <c r="D38" s="149"/>
      <c r="E38" s="150"/>
      <c r="F38" s="165"/>
    </row>
    <row r="39" spans="1:6" ht="15">
      <c r="A39" s="151" t="s">
        <v>70</v>
      </c>
      <c r="B39" s="158">
        <f>'Biogas-to-RNG'!AH34</f>
        <v>0</v>
      </c>
      <c r="C39" s="160" t="s">
        <v>71</v>
      </c>
      <c r="D39" s="149"/>
      <c r="E39" s="150"/>
      <c r="F39" s="165"/>
    </row>
    <row r="40" spans="1:6" ht="15">
      <c r="A40" s="167" t="s">
        <v>72</v>
      </c>
      <c r="B40" s="158">
        <f>'Biogas-to-RNG'!AH40</f>
        <v>0</v>
      </c>
      <c r="C40" s="160" t="s">
        <v>71</v>
      </c>
      <c r="D40" s="149"/>
      <c r="E40" s="150"/>
      <c r="F40" s="165"/>
    </row>
    <row r="41" spans="1:6" ht="15">
      <c r="A41" s="167"/>
      <c r="B41" s="166"/>
      <c r="C41" s="160"/>
      <c r="D41" s="149"/>
      <c r="E41" s="150"/>
      <c r="F41" s="165"/>
    </row>
    <row r="42" spans="1:6" ht="15">
      <c r="A42" s="146" t="s">
        <v>73</v>
      </c>
      <c r="B42" s="875"/>
      <c r="C42" s="155"/>
      <c r="D42" s="149"/>
      <c r="E42" s="150" t="s">
        <v>74</v>
      </c>
      <c r="F42" s="165">
        <f>'Biogas-to-RNG'!G86+'Biogas-to-RNG'!G89</f>
        <v>0</v>
      </c>
    </row>
    <row r="43" spans="1:6">
      <c r="A43" s="151" t="s">
        <v>75</v>
      </c>
      <c r="B43" s="152">
        <f>IFERROR(
    IF(
        'Biogas-to-RNG'!AA27="Diesel (Gallons)",
        ('Biogas-to-RNG'!P52 + 'Biogas-to-RNG'!W52 + 'Biogas-to-RNG'!AA52) * Reference!D9 * Reference!G45 / F7,
        ('Biogas-to-RNG'!P52 + 'Biogas-to-RNG'!W52) * Reference!D9 * Reference!G45 / F7
    ),
    0
)</f>
        <v>0</v>
      </c>
      <c r="C43" s="148" t="s">
        <v>76</v>
      </c>
      <c r="D43" s="149"/>
      <c r="E43" s="150"/>
      <c r="F43" s="165"/>
    </row>
    <row r="44" spans="1:6">
      <c r="A44" s="151" t="s">
        <v>77</v>
      </c>
      <c r="B44" s="152">
        <f>IFERROR(
    IF(
        'Biogas-to-RNG'!AA27="Grid Electricity (kWh)",
        ('Biogas-to-RNG'!L52 + 'Biogas-to-RNG'!U52 + 'Biogas-to-RNG'!V52 + 'Biogas-to-RNG'!AA52) * Reference!F45 / F7,
        ('Biogas-to-RNG'!L52 + 'Biogas-to-RNG'!U52 + 'Biogas-to-RNG'!V52) * Reference!F45 / F7
    ),
    0
)</f>
        <v>0</v>
      </c>
      <c r="C44" s="148" t="s">
        <v>76</v>
      </c>
      <c r="D44" s="149"/>
      <c r="E44" s="150"/>
      <c r="F44" s="165"/>
    </row>
    <row r="45" spans="1:6">
      <c r="A45" s="151" t="s">
        <v>78</v>
      </c>
      <c r="B45" s="152">
        <f>IFERROR(
    IF(
        'Biogas-to-RNG'!AA27="NG (MMBtu, LHV)",
        ('Biogas-to-RNG'!O52+'Biogas-to-RNG'!R52+'Biogas-to-RNG'!Y52+'Biogas-to-RNG'!AA52)*Reference!H45/F7,
        ('Biogas-to-RNG'!O52+'Biogas-to-RNG'!R52+'Biogas-to-RNG'!Y52)*Reference!H45/F7
    ),
    0
)</f>
        <v>0</v>
      </c>
      <c r="C45" s="148" t="s">
        <v>76</v>
      </c>
      <c r="D45" s="149"/>
      <c r="E45" s="150"/>
      <c r="F45" s="165"/>
    </row>
    <row r="46" spans="1:6">
      <c r="A46" s="151" t="s">
        <v>79</v>
      </c>
      <c r="B46" s="152">
        <f>IFERROR(
    (
        IF('Biogas-to-RNG'!Q27="Propane (Gallons)", 'Biogas-to-RNG'!Q52, 0) +
        IF('Biogas-to-RNG'!X27="Propane (Gallons)", 'Biogas-to-RNG'!X52, 0) +
        IF('Biogas-to-RNG'!AA27="Propane (Gallons)", 'Biogas-to-RNG'!AA52, 0) +
        'Biogas-to-RNG'!Z52
    ) * Reference!D12 * Reference!G45 / F7,
    0
)</f>
        <v>0</v>
      </c>
      <c r="C46" s="148" t="s">
        <v>76</v>
      </c>
      <c r="D46" s="149"/>
      <c r="E46" s="150"/>
      <c r="F46" s="165"/>
    </row>
    <row r="47" spans="1:6">
      <c r="A47" s="151" t="s">
        <v>80</v>
      </c>
      <c r="B47" s="152">
        <f>IFERROR(('Biogas-to-RNG'!M55+'Biogas-to-RNG'!M55)*Reference!H45/F7, 0)</f>
        <v>0</v>
      </c>
      <c r="C47" s="148" t="s">
        <v>81</v>
      </c>
      <c r="D47" s="149"/>
      <c r="E47" s="150"/>
      <c r="F47" s="165"/>
    </row>
    <row r="48" spans="1:6">
      <c r="A48" s="151" t="s">
        <v>82</v>
      </c>
      <c r="B48" s="152">
        <f>IFERROR(('Biogas-to-RNG'!N52+'Biogas-to-RNG'!T52)*Reference!H45/F7, 0)</f>
        <v>0</v>
      </c>
      <c r="C48" s="148" t="s">
        <v>81</v>
      </c>
      <c r="D48" s="149"/>
      <c r="E48" s="150" t="s">
        <v>83</v>
      </c>
      <c r="F48" s="165">
        <f>'Biogas-to-RNG'!G91</f>
        <v>2.96363943991798</v>
      </c>
    </row>
    <row r="49" spans="1:6">
      <c r="A49" s="151" t="str">
        <f>'EF Table'!C80</f>
        <v>User-Defined Fuel-1 (MJ)</v>
      </c>
      <c r="B49" s="152">
        <f>IFERROR(
    (
        IF('Biogas-to-RNG'!Q27='EF Table'!C80, 'Biogas-to-RNG'!Q52, 0) +
        IF('Biogas-to-RNG'!X27='EF Table'!C80, 'Biogas-to-RNG'!X52, 0) +
        IF('Biogas-to-RNG'!AA27='EF Table'!C80, 'Biogas-to-RNG'!AA52, 0)
    ) / F7,
    0
)</f>
        <v>0</v>
      </c>
      <c r="C49" s="148" t="s">
        <v>81</v>
      </c>
      <c r="D49" s="149"/>
      <c r="E49" s="150" t="s">
        <v>84</v>
      </c>
      <c r="F49" s="165">
        <f>'Biogas-to-RNG'!G92</f>
        <v>61.559634743751531</v>
      </c>
    </row>
    <row r="50" spans="1:6">
      <c r="A50" s="151" t="str">
        <f>'EF Table'!C81</f>
        <v>User-Defined Fuel-2 (MJ)</v>
      </c>
      <c r="B50" s="152">
        <f>IFERROR(
    (
        IF('Biogas-to-RNG'!Q27='EF Table'!C81, 'Biogas-to-RNG'!Q52, 0) +
        IF('Biogas-to-RNG'!X27='EF Table'!C81, 'Biogas-to-RNG'!X52, 0) +
        IF('Biogas-to-RNG'!AA27='EF Table'!C81, 'Biogas-to-RNG'!AA52, 0)
    ) / F7,
    0
)</f>
        <v>0</v>
      </c>
      <c r="C50" s="148" t="s">
        <v>81</v>
      </c>
      <c r="D50" s="149"/>
      <c r="E50" s="150"/>
      <c r="F50" s="165"/>
    </row>
    <row r="51" spans="1:6">
      <c r="A51" s="151" t="str">
        <f>'EF Table'!C82</f>
        <v>User-Defined Fuel-3 (MJ)</v>
      </c>
      <c r="B51" s="152">
        <f>IFERROR(
    (
        IF('Biogas-to-RNG'!Q27='EF Table'!C82, 'Biogas-to-RNG'!Q52, 0) +
        IF('Biogas-to-RNG'!X27='EF Table'!C82, 'Biogas-to-RNG'!X52, 0) +
        IF('Biogas-to-RNG'!AA27='EF Table'!C82, 'Biogas-to-RNG'!AA52, 0)
    ) / F7,
    0
)</f>
        <v>0</v>
      </c>
      <c r="C51" s="148" t="s">
        <v>81</v>
      </c>
      <c r="D51" s="149"/>
      <c r="E51" s="150"/>
      <c r="F51" s="165"/>
    </row>
    <row r="52" spans="1:6">
      <c r="A52" s="151" t="s">
        <v>85</v>
      </c>
      <c r="B52" s="152">
        <f>'Biogas-to-RNG'!AA52</f>
        <v>0</v>
      </c>
      <c r="C52" s="148" t="str">
        <f>'Biogas-to-RNG'!AA27</f>
        <v>User-Defined Fuel-3 (MJ)</v>
      </c>
      <c r="D52" s="149"/>
      <c r="E52" s="187"/>
      <c r="F52" s="876"/>
    </row>
    <row r="53" spans="1:6">
      <c r="A53" s="151" t="s">
        <v>86</v>
      </c>
      <c r="B53" s="152">
        <f>'Biogas-to-RNG'!Y52</f>
        <v>0</v>
      </c>
      <c r="C53" s="148" t="s">
        <v>87</v>
      </c>
      <c r="D53" s="149"/>
      <c r="E53" s="187"/>
      <c r="F53" s="876"/>
    </row>
    <row r="54" spans="1:6">
      <c r="A54" s="151" t="s">
        <v>88</v>
      </c>
      <c r="B54" s="152">
        <f>'Biogas-to-RNG'!Z52</f>
        <v>0</v>
      </c>
      <c r="C54" s="148" t="s">
        <v>87</v>
      </c>
      <c r="D54" s="149"/>
      <c r="E54" s="187"/>
      <c r="F54" s="876"/>
    </row>
    <row r="55" spans="1:6" ht="15" thickBot="1">
      <c r="A55" s="151" t="s">
        <v>89</v>
      </c>
      <c r="B55" s="163">
        <f>IFERROR(B70/SUM(B43:B51),0)</f>
        <v>0</v>
      </c>
      <c r="C55" s="148" t="s">
        <v>90</v>
      </c>
      <c r="D55" s="149"/>
      <c r="E55" s="187"/>
      <c r="F55" s="876"/>
    </row>
    <row r="56" spans="1:6" ht="15">
      <c r="A56" s="151"/>
      <c r="B56" s="152"/>
      <c r="C56" s="148"/>
      <c r="D56" s="149"/>
      <c r="E56" s="169" t="s">
        <v>91</v>
      </c>
      <c r="F56" s="877"/>
    </row>
    <row r="57" spans="1:6">
      <c r="A57" s="151"/>
      <c r="B57" s="147"/>
      <c r="C57" s="148"/>
      <c r="D57" s="149"/>
      <c r="E57" s="170" t="s">
        <v>92</v>
      </c>
      <c r="F57" s="171">
        <f>'Biogas-to-RNG'!G97</f>
        <v>0</v>
      </c>
    </row>
    <row r="58" spans="1:6" ht="28.5">
      <c r="A58" s="151"/>
      <c r="B58" s="152"/>
      <c r="C58" s="148"/>
      <c r="D58" s="149"/>
      <c r="E58" s="170" t="s">
        <v>93</v>
      </c>
      <c r="F58" s="172"/>
    </row>
    <row r="59" spans="1:6" ht="15.75" thickBot="1">
      <c r="A59" s="173" t="s">
        <v>94</v>
      </c>
      <c r="B59" s="152"/>
      <c r="C59" s="148"/>
      <c r="D59" s="149"/>
      <c r="E59" s="174" t="s">
        <v>95</v>
      </c>
      <c r="F59" s="175">
        <f>SUM(F57:F58)</f>
        <v>0</v>
      </c>
    </row>
    <row r="60" spans="1:6" ht="15">
      <c r="A60" s="176" t="s">
        <v>96</v>
      </c>
      <c r="B60" s="152"/>
      <c r="C60" s="148"/>
      <c r="D60" s="149"/>
      <c r="E60" s="177"/>
      <c r="F60" s="178"/>
    </row>
    <row r="61" spans="1:6">
      <c r="A61" s="151" t="s">
        <v>97</v>
      </c>
      <c r="B61" s="844" t="str">
        <f>'Biogas-to-RNG'!D24</f>
        <v>CAMX</v>
      </c>
      <c r="C61" s="148"/>
      <c r="D61" s="149"/>
      <c r="E61" s="150"/>
      <c r="F61" s="165"/>
    </row>
    <row r="62" spans="1:6">
      <c r="A62" s="151"/>
      <c r="B62" s="152"/>
      <c r="C62" s="148"/>
      <c r="D62" s="149"/>
      <c r="E62" s="150"/>
      <c r="F62" s="165"/>
    </row>
    <row r="63" spans="1:6" ht="15.75" thickBot="1">
      <c r="A63" s="179"/>
      <c r="B63" s="152"/>
      <c r="C63" s="148"/>
      <c r="D63" s="149"/>
      <c r="E63" s="168"/>
      <c r="F63" s="878"/>
    </row>
    <row r="64" spans="1:6" ht="15">
      <c r="A64" s="180" t="s">
        <v>98</v>
      </c>
      <c r="B64" s="152"/>
      <c r="C64" s="148"/>
      <c r="D64" s="149"/>
      <c r="E64" s="181" t="s">
        <v>99</v>
      </c>
      <c r="F64" s="182"/>
    </row>
    <row r="65" spans="1:9">
      <c r="A65" s="183" t="s">
        <v>100</v>
      </c>
      <c r="B65" s="152">
        <f>'Biogas-to-RNG'!AL25</f>
        <v>0</v>
      </c>
      <c r="C65" s="148" t="s">
        <v>71</v>
      </c>
      <c r="D65" s="149"/>
      <c r="E65" s="184" t="s">
        <v>101</v>
      </c>
      <c r="F65" s="879">
        <f>'Biogas-to-RNG'!G98</f>
        <v>0</v>
      </c>
    </row>
    <row r="66" spans="1:9" ht="28.5">
      <c r="A66" s="151" t="s">
        <v>102</v>
      </c>
      <c r="B66" s="152">
        <f>IFERROR('Biogas-to-RNG'!AL29*Reference!H45/F7,0)</f>
        <v>0</v>
      </c>
      <c r="C66" s="148" t="s">
        <v>81</v>
      </c>
      <c r="D66" s="149"/>
      <c r="E66" s="170" t="s">
        <v>93</v>
      </c>
      <c r="F66" s="185"/>
    </row>
    <row r="67" spans="1:9" ht="15.75" thickBot="1">
      <c r="A67" s="180"/>
      <c r="B67" s="152"/>
      <c r="C67" s="148"/>
      <c r="D67" s="149"/>
      <c r="E67" s="174" t="s">
        <v>95</v>
      </c>
      <c r="F67" s="186">
        <f>SUM(F65:F66)</f>
        <v>0</v>
      </c>
    </row>
    <row r="68" spans="1:9" ht="15">
      <c r="A68" s="180"/>
      <c r="B68" s="152"/>
      <c r="C68" s="148"/>
      <c r="D68" s="149"/>
      <c r="E68" s="187"/>
      <c r="F68" s="876"/>
    </row>
    <row r="69" spans="1:9" ht="15">
      <c r="A69" s="146" t="s">
        <v>103</v>
      </c>
      <c r="B69" s="875"/>
      <c r="C69" s="148"/>
      <c r="D69" s="149"/>
      <c r="E69" s="150"/>
      <c r="F69" s="165"/>
    </row>
    <row r="70" spans="1:9">
      <c r="A70" s="151" t="s">
        <v>104</v>
      </c>
      <c r="B70" s="152">
        <f>IFERROR('Biogas-to-RNG'!AD52*Reference!H45/F7,0)</f>
        <v>0</v>
      </c>
      <c r="C70" s="148" t="s">
        <v>76</v>
      </c>
      <c r="D70" s="149"/>
      <c r="E70" s="150"/>
      <c r="F70" s="165"/>
    </row>
    <row r="71" spans="1:9" ht="15" thickBot="1">
      <c r="A71" s="151" t="s">
        <v>105</v>
      </c>
      <c r="B71" s="152">
        <f>IFERROR('Biogas-to-RNG'!U52*Reference!F45/F7,0)</f>
        <v>0</v>
      </c>
      <c r="C71" s="148" t="s">
        <v>76</v>
      </c>
      <c r="D71" s="149"/>
      <c r="E71" s="168"/>
      <c r="F71" s="878"/>
    </row>
    <row r="72" spans="1:9" ht="15">
      <c r="A72" s="151" t="s">
        <v>106</v>
      </c>
      <c r="B72" s="188">
        <f>IFERROR(B70/(B70+B71),0)</f>
        <v>0</v>
      </c>
      <c r="C72" s="148" t="s">
        <v>68</v>
      </c>
      <c r="D72" s="149"/>
      <c r="E72" s="169" t="s">
        <v>107</v>
      </c>
      <c r="F72" s="182"/>
    </row>
    <row r="73" spans="1:9">
      <c r="A73" s="151"/>
      <c r="B73" s="188"/>
      <c r="C73" s="148"/>
      <c r="D73" s="149"/>
      <c r="E73" s="184" t="s">
        <v>101</v>
      </c>
      <c r="F73" s="189">
        <f>'Biogas-to-RNG'!G99</f>
        <v>0</v>
      </c>
    </row>
    <row r="74" spans="1:9" ht="28.5">
      <c r="A74" s="151"/>
      <c r="B74" s="188"/>
      <c r="C74" s="148"/>
      <c r="D74" s="149"/>
      <c r="E74" s="170" t="s">
        <v>93</v>
      </c>
      <c r="F74" s="185"/>
    </row>
    <row r="75" spans="1:9" ht="15" thickBot="1">
      <c r="A75" s="151"/>
      <c r="B75" s="188"/>
      <c r="C75" s="148"/>
      <c r="D75" s="149"/>
      <c r="E75" s="174" t="s">
        <v>95</v>
      </c>
      <c r="F75" s="186">
        <f>SUM(F73:F74)</f>
        <v>0</v>
      </c>
    </row>
    <row r="76" spans="1:9">
      <c r="A76" s="151"/>
      <c r="B76" s="188"/>
      <c r="C76" s="148"/>
      <c r="D76" s="149"/>
      <c r="E76" s="187"/>
      <c r="F76" s="876"/>
    </row>
    <row r="77" spans="1:9">
      <c r="A77" s="190"/>
      <c r="B77" s="191"/>
      <c r="C77" s="192"/>
      <c r="D77" s="149"/>
      <c r="E77" s="193"/>
      <c r="F77" s="194"/>
    </row>
    <row r="78" spans="1:9">
      <c r="A78" s="190"/>
      <c r="B78" s="195"/>
      <c r="C78" s="192"/>
      <c r="D78" s="149"/>
      <c r="E78" s="193"/>
      <c r="F78" s="194"/>
    </row>
    <row r="79" spans="1:9" ht="23.45" customHeight="1">
      <c r="A79" s="919" t="s">
        <v>108</v>
      </c>
      <c r="B79" s="920"/>
      <c r="C79" s="920"/>
      <c r="D79" s="920"/>
      <c r="E79" s="920"/>
      <c r="F79" s="921"/>
    </row>
    <row r="80" spans="1:9" ht="312" customHeight="1">
      <c r="A80" s="912" t="s">
        <v>109</v>
      </c>
      <c r="B80" s="912"/>
      <c r="C80" s="912"/>
      <c r="D80" s="912"/>
      <c r="E80" s="912"/>
      <c r="F80" s="913"/>
      <c r="G80" s="196"/>
      <c r="H80" s="196"/>
      <c r="I80" s="196"/>
    </row>
    <row r="81" spans="1:6">
      <c r="A81" s="912"/>
      <c r="B81" s="912"/>
      <c r="C81" s="912"/>
      <c r="D81" s="912"/>
      <c r="E81" s="912"/>
      <c r="F81" s="913"/>
    </row>
    <row r="82" spans="1:6">
      <c r="A82" s="912"/>
      <c r="B82" s="912"/>
      <c r="C82" s="912"/>
      <c r="D82" s="912"/>
      <c r="E82" s="912"/>
      <c r="F82" s="913"/>
    </row>
    <row r="83" spans="1:6">
      <c r="A83" s="912"/>
      <c r="B83" s="912"/>
      <c r="C83" s="912"/>
      <c r="D83" s="912"/>
      <c r="E83" s="912"/>
      <c r="F83" s="913"/>
    </row>
    <row r="84" spans="1:6">
      <c r="A84" s="912"/>
      <c r="B84" s="912"/>
      <c r="C84" s="912"/>
      <c r="D84" s="912"/>
      <c r="E84" s="912"/>
      <c r="F84" s="913"/>
    </row>
    <row r="85" spans="1:6">
      <c r="A85" s="912"/>
      <c r="B85" s="912"/>
      <c r="C85" s="912"/>
      <c r="D85" s="912"/>
      <c r="E85" s="912"/>
      <c r="F85" s="913"/>
    </row>
    <row r="86" spans="1:6" ht="15" thickBot="1">
      <c r="A86" s="914"/>
      <c r="B86" s="914"/>
      <c r="C86" s="914"/>
      <c r="D86" s="914"/>
      <c r="E86" s="914"/>
      <c r="F86" s="915"/>
    </row>
    <row r="87" spans="1:6">
      <c r="A87" s="196"/>
      <c r="B87" s="196"/>
      <c r="C87" s="196"/>
      <c r="D87" s="196"/>
      <c r="E87" s="196"/>
      <c r="F87" s="196"/>
    </row>
    <row r="88" spans="1:6">
      <c r="A88" s="196"/>
      <c r="B88" s="196"/>
      <c r="C88" s="196"/>
      <c r="D88" s="196"/>
      <c r="E88" s="196"/>
      <c r="F88" s="196"/>
    </row>
    <row r="89" spans="1:6">
      <c r="A89" s="196"/>
      <c r="B89" s="196"/>
      <c r="C89" s="196"/>
      <c r="D89" s="196"/>
      <c r="E89" s="196"/>
      <c r="F89" s="196"/>
    </row>
    <row r="90" spans="1:6">
      <c r="A90" s="196"/>
      <c r="B90" s="196"/>
      <c r="C90" s="196"/>
      <c r="D90" s="196"/>
      <c r="E90" s="196"/>
      <c r="F90" s="196"/>
    </row>
    <row r="91" spans="1:6">
      <c r="A91" s="196"/>
      <c r="B91" s="196"/>
      <c r="C91" s="196"/>
      <c r="D91" s="196"/>
      <c r="E91" s="196"/>
      <c r="F91" s="196"/>
    </row>
    <row r="92" spans="1:6">
      <c r="A92" s="196"/>
      <c r="B92" s="196"/>
      <c r="C92" s="196"/>
      <c r="D92" s="196"/>
      <c r="E92" s="196"/>
      <c r="F92" s="196"/>
    </row>
    <row r="93" spans="1:6">
      <c r="A93" s="196"/>
      <c r="B93" s="196"/>
      <c r="C93" s="196"/>
      <c r="D93" s="196"/>
      <c r="E93" s="196"/>
      <c r="F93" s="196"/>
    </row>
    <row r="94" spans="1:6">
      <c r="A94" s="196"/>
      <c r="B94" s="196"/>
      <c r="C94" s="196"/>
      <c r="D94" s="196"/>
      <c r="E94" s="196"/>
      <c r="F94" s="196"/>
    </row>
    <row r="95" spans="1:6" ht="15">
      <c r="A95" s="197"/>
    </row>
    <row r="96" spans="1:6" ht="15">
      <c r="A96" s="197"/>
    </row>
  </sheetData>
  <mergeCells count="10">
    <mergeCell ref="A80:F86"/>
    <mergeCell ref="B6:D6"/>
    <mergeCell ref="E8:F8"/>
    <mergeCell ref="A79:F79"/>
    <mergeCell ref="A1:D1"/>
    <mergeCell ref="E1:F1"/>
    <mergeCell ref="B2:D2"/>
    <mergeCell ref="B3:D3"/>
    <mergeCell ref="B4:D4"/>
    <mergeCell ref="B5:D5"/>
  </mergeCells>
  <pageMargins left="0.45" right="0.45" top="0.3" bottom="0.3" header="0.3" footer="0.3"/>
  <pageSetup paperSize="9" scale="55" orientation="landscape"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70144-F657-487F-AEC1-A44129ECD660}">
  <sheetPr codeName="Manure_to_Biogas">
    <tabColor rgb="FF92D050"/>
  </sheetPr>
  <dimension ref="B2:CF108"/>
  <sheetViews>
    <sheetView showGridLines="0" topLeftCell="A97" zoomScale="85" zoomScaleNormal="85" workbookViewId="0">
      <selection activeCell="H84" sqref="H84"/>
    </sheetView>
  </sheetViews>
  <sheetFormatPr defaultRowHeight="15"/>
  <cols>
    <col min="1" max="1" width="4.42578125" customWidth="1"/>
    <col min="2" max="2" width="48.5703125" customWidth="1"/>
    <col min="3" max="3" width="20.42578125" bestFit="1" customWidth="1"/>
    <col min="4" max="4" width="22.140625" customWidth="1"/>
    <col min="5" max="5" width="18.5703125" customWidth="1"/>
    <col min="6" max="6" width="19.85546875" customWidth="1"/>
    <col min="7" max="7" width="27.28515625" customWidth="1"/>
    <col min="8" max="8" width="22" customWidth="1"/>
    <col min="9" max="9" width="28.140625" customWidth="1"/>
    <col min="10" max="10" width="24.28515625" customWidth="1"/>
    <col min="11" max="11" width="35.28515625" bestFit="1" customWidth="1"/>
    <col min="12" max="12" width="26.5703125" customWidth="1"/>
    <col min="13" max="13" width="18.28515625" customWidth="1"/>
    <col min="14" max="14" width="21" customWidth="1"/>
    <col min="15" max="15" width="7" customWidth="1"/>
    <col min="16" max="16" width="32.28515625" customWidth="1"/>
    <col min="17" max="17" width="21.140625" customWidth="1"/>
    <col min="18" max="18" width="19.140625" customWidth="1"/>
    <col min="19" max="19" width="15.85546875" customWidth="1"/>
    <col min="20" max="20" width="17.5703125" customWidth="1"/>
    <col min="21" max="21" width="25.42578125" customWidth="1"/>
    <col min="22" max="22" width="17.28515625" bestFit="1" customWidth="1"/>
    <col min="23" max="23" width="27.7109375" customWidth="1"/>
    <col min="24" max="24" width="24.7109375" bestFit="1" customWidth="1"/>
    <col min="25" max="25" width="35.28515625" bestFit="1" customWidth="1"/>
    <col min="26" max="26" width="26.85546875" customWidth="1"/>
    <col min="27" max="27" width="16" customWidth="1"/>
    <col min="28" max="28" width="20" customWidth="1"/>
    <col min="29" max="29" width="9.28515625" customWidth="1"/>
    <col min="30" max="30" width="31.42578125" customWidth="1"/>
    <col min="31" max="31" width="20.42578125" customWidth="1"/>
    <col min="32" max="32" width="15.42578125" customWidth="1"/>
    <col min="33" max="33" width="18.42578125" customWidth="1"/>
    <col min="34" max="34" width="18.85546875" customWidth="1"/>
    <col min="35" max="35" width="22.42578125" bestFit="1" customWidth="1"/>
    <col min="36" max="36" width="17.28515625" bestFit="1" customWidth="1"/>
    <col min="37" max="37" width="29.5703125" customWidth="1"/>
    <col min="38" max="38" width="24.7109375" bestFit="1" customWidth="1"/>
    <col min="39" max="39" width="35.28515625" bestFit="1" customWidth="1"/>
    <col min="40" max="40" width="25.28515625" bestFit="1" customWidth="1"/>
    <col min="41" max="41" width="15.85546875" customWidth="1"/>
    <col min="42" max="42" width="20.85546875" customWidth="1"/>
    <col min="44" max="44" width="31.85546875" customWidth="1"/>
    <col min="45" max="45" width="17.85546875" customWidth="1"/>
    <col min="46" max="46" width="13.140625" customWidth="1"/>
    <col min="47" max="47" width="17.140625" customWidth="1"/>
    <col min="48" max="48" width="18.42578125" customWidth="1"/>
    <col min="49" max="49" width="24.28515625" customWidth="1"/>
    <col min="50" max="50" width="17.28515625" bestFit="1" customWidth="1"/>
    <col min="51" max="51" width="28.7109375" customWidth="1"/>
    <col min="52" max="52" width="24.7109375" bestFit="1" customWidth="1"/>
    <col min="53" max="53" width="35.28515625" bestFit="1" customWidth="1"/>
    <col min="54" max="54" width="27" customWidth="1"/>
    <col min="55" max="55" width="15.5703125" customWidth="1"/>
    <col min="56" max="56" width="20.140625" customWidth="1"/>
    <col min="58" max="58" width="32.42578125" customWidth="1"/>
    <col min="59" max="59" width="19.28515625" customWidth="1"/>
    <col min="60" max="60" width="15" customWidth="1"/>
    <col min="61" max="61" width="16.5703125" customWidth="1"/>
    <col min="62" max="62" width="17.42578125" customWidth="1"/>
    <col min="63" max="63" width="25.42578125" customWidth="1"/>
    <col min="64" max="64" width="17.28515625" bestFit="1" customWidth="1"/>
    <col min="65" max="65" width="28.140625" customWidth="1"/>
    <col min="66" max="66" width="24.7109375" bestFit="1" customWidth="1"/>
    <col min="67" max="67" width="35.28515625" bestFit="1" customWidth="1"/>
    <col min="68" max="68" width="25.7109375" customWidth="1"/>
    <col min="69" max="69" width="15.5703125" customWidth="1"/>
    <col min="70" max="70" width="19.28515625" customWidth="1"/>
    <col min="72" max="72" width="31.42578125" customWidth="1"/>
    <col min="73" max="73" width="18.85546875" customWidth="1"/>
    <col min="74" max="74" width="13.28515625" customWidth="1"/>
    <col min="75" max="76" width="16.42578125" customWidth="1"/>
    <col min="77" max="77" width="22.5703125" customWidth="1"/>
    <col min="78" max="78" width="17.42578125" customWidth="1"/>
    <col min="79" max="80" width="28.42578125" customWidth="1"/>
    <col min="81" max="81" width="35.28515625" bestFit="1" customWidth="1"/>
    <col min="82" max="82" width="25.28515625" bestFit="1" customWidth="1"/>
    <col min="83" max="83" width="15.7109375" customWidth="1"/>
    <col min="84" max="84" width="19" customWidth="1"/>
  </cols>
  <sheetData>
    <row r="2" spans="2:84" ht="64.5" customHeight="1">
      <c r="C2" s="936" t="s">
        <v>110</v>
      </c>
      <c r="D2" s="936"/>
      <c r="E2" s="936"/>
      <c r="F2" s="936"/>
      <c r="G2" s="936"/>
      <c r="H2" s="936"/>
      <c r="I2" s="198"/>
    </row>
    <row r="4" spans="2:84" ht="15.75" thickBot="1"/>
    <row r="5" spans="2:84" ht="31.5" customHeight="1" thickBot="1">
      <c r="B5" s="199" t="s">
        <v>111</v>
      </c>
      <c r="C5" s="200"/>
      <c r="D5" s="200"/>
      <c r="E5" s="200"/>
      <c r="F5" s="200"/>
      <c r="G5" s="200"/>
      <c r="H5" s="200"/>
      <c r="I5" s="200"/>
      <c r="J5" s="200"/>
      <c r="K5" s="200"/>
      <c r="L5" s="200"/>
      <c r="M5" s="200"/>
      <c r="N5" s="200"/>
      <c r="O5" s="200"/>
      <c r="P5" s="200"/>
      <c r="Q5" s="200"/>
      <c r="R5" s="200"/>
      <c r="S5" s="200"/>
      <c r="T5" s="200"/>
      <c r="U5" s="200"/>
      <c r="V5" s="200"/>
      <c r="W5" s="200"/>
      <c r="X5" s="200"/>
      <c r="Y5" s="200"/>
      <c r="Z5" s="200"/>
      <c r="AA5" s="200"/>
      <c r="AB5" s="200"/>
      <c r="AC5" s="200"/>
      <c r="AD5" s="200"/>
      <c r="AE5" s="200"/>
      <c r="AF5" s="200"/>
      <c r="AG5" s="200"/>
      <c r="AH5" s="200"/>
      <c r="AI5" s="200"/>
      <c r="AJ5" s="200"/>
      <c r="AK5" s="200"/>
      <c r="AL5" s="200"/>
      <c r="AM5" s="200"/>
      <c r="AN5" s="200"/>
      <c r="AO5" s="200"/>
      <c r="AP5" s="200"/>
      <c r="AQ5" s="200"/>
      <c r="AR5" s="200"/>
      <c r="AS5" s="200"/>
      <c r="AT5" s="200"/>
      <c r="AU5" s="200"/>
      <c r="AV5" s="200"/>
      <c r="AW5" s="200"/>
      <c r="AX5" s="200"/>
      <c r="AY5" s="200"/>
      <c r="AZ5" s="200"/>
      <c r="BA5" s="200"/>
      <c r="BB5" s="200"/>
      <c r="BC5" s="200"/>
      <c r="BD5" s="200"/>
      <c r="BE5" s="200"/>
      <c r="BF5" s="200"/>
      <c r="BG5" s="200"/>
      <c r="BH5" s="200"/>
      <c r="BI5" s="200"/>
      <c r="BJ5" s="200"/>
      <c r="BK5" s="200"/>
      <c r="BL5" s="200"/>
      <c r="BM5" s="200"/>
      <c r="BN5" s="200"/>
      <c r="BO5" s="200"/>
      <c r="BP5" s="200"/>
      <c r="BQ5" s="200"/>
      <c r="BR5" s="200"/>
      <c r="BS5" s="200"/>
      <c r="BT5" s="200"/>
      <c r="BU5" s="200"/>
      <c r="BV5" s="200"/>
      <c r="BW5" s="200"/>
      <c r="BX5" s="200"/>
      <c r="BY5" s="200"/>
      <c r="BZ5" s="200"/>
      <c r="CA5" s="200"/>
      <c r="CB5" s="200"/>
      <c r="CC5" s="200"/>
      <c r="CD5" s="200"/>
      <c r="CE5" s="200"/>
      <c r="CF5" s="201"/>
    </row>
    <row r="6" spans="2:84" ht="77.099999999999994" customHeight="1">
      <c r="B6" s="202" t="s">
        <v>112</v>
      </c>
      <c r="C6" s="203" t="s">
        <v>113</v>
      </c>
      <c r="D6" s="892" t="s">
        <v>114</v>
      </c>
      <c r="E6" s="892" t="s">
        <v>115</v>
      </c>
      <c r="F6" s="892" t="s">
        <v>116</v>
      </c>
      <c r="G6" s="892" t="s">
        <v>117</v>
      </c>
      <c r="H6" s="892" t="s">
        <v>118</v>
      </c>
      <c r="I6" s="892" t="s">
        <v>119</v>
      </c>
      <c r="J6" s="892" t="s">
        <v>120</v>
      </c>
      <c r="K6" s="892" t="s">
        <v>121</v>
      </c>
      <c r="L6" s="892" t="s">
        <v>122</v>
      </c>
      <c r="M6" s="892" t="s">
        <v>123</v>
      </c>
      <c r="N6" s="204" t="s">
        <v>124</v>
      </c>
      <c r="P6" s="202" t="s">
        <v>125</v>
      </c>
      <c r="Q6" s="203" t="s">
        <v>126</v>
      </c>
      <c r="R6" s="892" t="s">
        <v>127</v>
      </c>
      <c r="S6" s="892" t="s">
        <v>128</v>
      </c>
      <c r="T6" s="892" t="s">
        <v>129</v>
      </c>
      <c r="U6" s="892" t="s">
        <v>130</v>
      </c>
      <c r="V6" s="892" t="s">
        <v>131</v>
      </c>
      <c r="W6" s="892" t="s">
        <v>132</v>
      </c>
      <c r="X6" s="892" t="s">
        <v>133</v>
      </c>
      <c r="Y6" s="892" t="s">
        <v>134</v>
      </c>
      <c r="Z6" s="892" t="s">
        <v>135</v>
      </c>
      <c r="AA6" s="892" t="s">
        <v>136</v>
      </c>
      <c r="AB6" s="204" t="s">
        <v>137</v>
      </c>
      <c r="AD6" s="202" t="s">
        <v>138</v>
      </c>
      <c r="AE6" s="203" t="s">
        <v>139</v>
      </c>
      <c r="AF6" s="892" t="s">
        <v>140</v>
      </c>
      <c r="AG6" s="892" t="s">
        <v>141</v>
      </c>
      <c r="AH6" s="892" t="s">
        <v>142</v>
      </c>
      <c r="AI6" s="892" t="s">
        <v>143</v>
      </c>
      <c r="AJ6" s="892" t="s">
        <v>144</v>
      </c>
      <c r="AK6" s="892" t="s">
        <v>145</v>
      </c>
      <c r="AL6" s="892" t="s">
        <v>146</v>
      </c>
      <c r="AM6" s="892" t="s">
        <v>147</v>
      </c>
      <c r="AN6" s="892" t="s">
        <v>148</v>
      </c>
      <c r="AO6" s="892" t="s">
        <v>149</v>
      </c>
      <c r="AP6" s="204" t="s">
        <v>150</v>
      </c>
      <c r="AR6" s="202" t="s">
        <v>151</v>
      </c>
      <c r="AS6" s="203" t="s">
        <v>152</v>
      </c>
      <c r="AT6" s="892" t="s">
        <v>153</v>
      </c>
      <c r="AU6" s="892" t="s">
        <v>154</v>
      </c>
      <c r="AV6" s="892" t="s">
        <v>155</v>
      </c>
      <c r="AW6" s="892" t="s">
        <v>156</v>
      </c>
      <c r="AX6" s="892" t="s">
        <v>157</v>
      </c>
      <c r="AY6" s="892" t="s">
        <v>158</v>
      </c>
      <c r="AZ6" s="892" t="s">
        <v>159</v>
      </c>
      <c r="BA6" s="892" t="s">
        <v>160</v>
      </c>
      <c r="BB6" s="892" t="s">
        <v>161</v>
      </c>
      <c r="BC6" s="892" t="s">
        <v>162</v>
      </c>
      <c r="BD6" s="204" t="s">
        <v>163</v>
      </c>
      <c r="BF6" s="202" t="s">
        <v>164</v>
      </c>
      <c r="BG6" s="203" t="s">
        <v>165</v>
      </c>
      <c r="BH6" s="892" t="s">
        <v>166</v>
      </c>
      <c r="BI6" s="892" t="s">
        <v>167</v>
      </c>
      <c r="BJ6" s="892" t="s">
        <v>168</v>
      </c>
      <c r="BK6" s="892" t="s">
        <v>169</v>
      </c>
      <c r="BL6" s="892" t="s">
        <v>170</v>
      </c>
      <c r="BM6" s="892" t="s">
        <v>171</v>
      </c>
      <c r="BN6" s="892" t="s">
        <v>172</v>
      </c>
      <c r="BO6" s="892" t="s">
        <v>173</v>
      </c>
      <c r="BP6" s="892" t="s">
        <v>174</v>
      </c>
      <c r="BQ6" s="892" t="s">
        <v>175</v>
      </c>
      <c r="BR6" s="204" t="s">
        <v>176</v>
      </c>
      <c r="BT6" s="202" t="s">
        <v>177</v>
      </c>
      <c r="BU6" s="203" t="s">
        <v>178</v>
      </c>
      <c r="BV6" s="892" t="s">
        <v>179</v>
      </c>
      <c r="BW6" s="892" t="s">
        <v>180</v>
      </c>
      <c r="BX6" s="892" t="s">
        <v>181</v>
      </c>
      <c r="BY6" s="892" t="s">
        <v>182</v>
      </c>
      <c r="BZ6" s="892" t="s">
        <v>183</v>
      </c>
      <c r="CA6" s="892" t="s">
        <v>184</v>
      </c>
      <c r="CB6" s="892" t="s">
        <v>185</v>
      </c>
      <c r="CC6" s="892" t="s">
        <v>186</v>
      </c>
      <c r="CD6" s="892" t="s">
        <v>187</v>
      </c>
      <c r="CE6" s="892" t="s">
        <v>188</v>
      </c>
      <c r="CF6" s="204" t="s">
        <v>189</v>
      </c>
    </row>
    <row r="7" spans="2:84" ht="40.5" customHeight="1" thickBot="1">
      <c r="B7" s="205" t="s">
        <v>190</v>
      </c>
      <c r="C7" s="206" t="s">
        <v>191</v>
      </c>
      <c r="D7" s="207" t="s">
        <v>192</v>
      </c>
      <c r="E7" s="207" t="s">
        <v>193</v>
      </c>
      <c r="F7" s="207" t="s">
        <v>194</v>
      </c>
      <c r="G7" s="207" t="s">
        <v>195</v>
      </c>
      <c r="H7" s="207" t="s">
        <v>196</v>
      </c>
      <c r="I7" s="207" t="s">
        <v>197</v>
      </c>
      <c r="J7" s="207" t="s">
        <v>198</v>
      </c>
      <c r="K7" s="208" t="s">
        <v>199</v>
      </c>
      <c r="L7" s="207" t="s">
        <v>200</v>
      </c>
      <c r="M7" s="207" t="s">
        <v>201</v>
      </c>
      <c r="N7" s="209" t="s">
        <v>202</v>
      </c>
      <c r="P7" s="205" t="s">
        <v>190</v>
      </c>
      <c r="Q7" s="206" t="s">
        <v>191</v>
      </c>
      <c r="R7" s="207" t="s">
        <v>192</v>
      </c>
      <c r="S7" s="207" t="s">
        <v>193</v>
      </c>
      <c r="T7" s="207" t="s">
        <v>194</v>
      </c>
      <c r="U7" s="207" t="s">
        <v>195</v>
      </c>
      <c r="V7" s="207" t="s">
        <v>196</v>
      </c>
      <c r="W7" s="207" t="s">
        <v>197</v>
      </c>
      <c r="X7" s="207" t="s">
        <v>198</v>
      </c>
      <c r="Y7" s="208" t="s">
        <v>199</v>
      </c>
      <c r="Z7" s="207" t="s">
        <v>200</v>
      </c>
      <c r="AA7" s="207" t="s">
        <v>201</v>
      </c>
      <c r="AB7" s="209" t="s">
        <v>202</v>
      </c>
      <c r="AD7" s="205" t="s">
        <v>190</v>
      </c>
      <c r="AE7" s="206" t="s">
        <v>191</v>
      </c>
      <c r="AF7" s="207" t="s">
        <v>192</v>
      </c>
      <c r="AG7" s="207" t="s">
        <v>193</v>
      </c>
      <c r="AH7" s="207" t="s">
        <v>194</v>
      </c>
      <c r="AI7" s="207" t="s">
        <v>195</v>
      </c>
      <c r="AJ7" s="207" t="s">
        <v>196</v>
      </c>
      <c r="AK7" s="207" t="s">
        <v>197</v>
      </c>
      <c r="AL7" s="207" t="s">
        <v>198</v>
      </c>
      <c r="AM7" s="208" t="s">
        <v>199</v>
      </c>
      <c r="AN7" s="207" t="s">
        <v>200</v>
      </c>
      <c r="AO7" s="207" t="s">
        <v>201</v>
      </c>
      <c r="AP7" s="209" t="s">
        <v>202</v>
      </c>
      <c r="AR7" s="205" t="s">
        <v>190</v>
      </c>
      <c r="AS7" s="206" t="s">
        <v>191</v>
      </c>
      <c r="AT7" s="207" t="s">
        <v>192</v>
      </c>
      <c r="AU7" s="207" t="s">
        <v>193</v>
      </c>
      <c r="AV7" s="207" t="s">
        <v>194</v>
      </c>
      <c r="AW7" s="207" t="s">
        <v>195</v>
      </c>
      <c r="AX7" s="207" t="s">
        <v>196</v>
      </c>
      <c r="AY7" s="207" t="s">
        <v>197</v>
      </c>
      <c r="AZ7" s="207" t="s">
        <v>198</v>
      </c>
      <c r="BA7" s="208" t="s">
        <v>199</v>
      </c>
      <c r="BB7" s="207" t="s">
        <v>200</v>
      </c>
      <c r="BC7" s="207" t="s">
        <v>201</v>
      </c>
      <c r="BD7" s="209" t="s">
        <v>202</v>
      </c>
      <c r="BF7" s="205" t="s">
        <v>190</v>
      </c>
      <c r="BG7" s="206" t="s">
        <v>191</v>
      </c>
      <c r="BH7" s="207" t="s">
        <v>192</v>
      </c>
      <c r="BI7" s="207" t="s">
        <v>193</v>
      </c>
      <c r="BJ7" s="207" t="s">
        <v>194</v>
      </c>
      <c r="BK7" s="207" t="s">
        <v>195</v>
      </c>
      <c r="BL7" s="207" t="s">
        <v>196</v>
      </c>
      <c r="BM7" s="207" t="s">
        <v>197</v>
      </c>
      <c r="BN7" s="207" t="s">
        <v>198</v>
      </c>
      <c r="BO7" s="208" t="s">
        <v>199</v>
      </c>
      <c r="BP7" s="207" t="s">
        <v>200</v>
      </c>
      <c r="BQ7" s="207" t="s">
        <v>201</v>
      </c>
      <c r="BR7" s="209" t="s">
        <v>202</v>
      </c>
      <c r="BT7" s="205" t="s">
        <v>190</v>
      </c>
      <c r="BU7" s="206" t="s">
        <v>191</v>
      </c>
      <c r="BV7" s="207" t="s">
        <v>192</v>
      </c>
      <c r="BW7" s="207" t="s">
        <v>193</v>
      </c>
      <c r="BX7" s="207" t="s">
        <v>194</v>
      </c>
      <c r="BY7" s="207" t="s">
        <v>195</v>
      </c>
      <c r="BZ7" s="207" t="s">
        <v>196</v>
      </c>
      <c r="CA7" s="207" t="s">
        <v>197</v>
      </c>
      <c r="CB7" s="207" t="s">
        <v>198</v>
      </c>
      <c r="CC7" s="208" t="s">
        <v>199</v>
      </c>
      <c r="CD7" s="207" t="s">
        <v>200</v>
      </c>
      <c r="CE7" s="207" t="s">
        <v>201</v>
      </c>
      <c r="CF7" s="209" t="s">
        <v>202</v>
      </c>
    </row>
    <row r="8" spans="2:84" ht="41.45" customHeight="1">
      <c r="B8" s="202" t="s">
        <v>203</v>
      </c>
      <c r="C8" s="206"/>
      <c r="D8" s="207"/>
      <c r="E8" s="207"/>
      <c r="F8" s="207"/>
      <c r="G8" s="207"/>
      <c r="H8" s="207"/>
      <c r="I8" s="207"/>
      <c r="J8" s="207"/>
      <c r="K8" s="207"/>
      <c r="L8" s="207"/>
      <c r="M8" s="207"/>
      <c r="N8" s="209"/>
      <c r="P8" s="202" t="s">
        <v>204</v>
      </c>
      <c r="Q8" s="206"/>
      <c r="R8" s="207"/>
      <c r="S8" s="207"/>
      <c r="T8" s="207"/>
      <c r="U8" s="207"/>
      <c r="V8" s="207"/>
      <c r="W8" s="207"/>
      <c r="X8" s="207"/>
      <c r="Y8" s="207"/>
      <c r="Z8" s="207"/>
      <c r="AA8" s="207"/>
      <c r="AB8" s="209"/>
      <c r="AD8" s="202" t="s">
        <v>205</v>
      </c>
      <c r="AE8" s="206"/>
      <c r="AF8" s="207"/>
      <c r="AG8" s="207"/>
      <c r="AH8" s="207"/>
      <c r="AI8" s="207"/>
      <c r="AJ8" s="207"/>
      <c r="AK8" s="207"/>
      <c r="AL8" s="207"/>
      <c r="AM8" s="207"/>
      <c r="AN8" s="207"/>
      <c r="AO8" s="207"/>
      <c r="AP8" s="209"/>
      <c r="AR8" s="202" t="s">
        <v>206</v>
      </c>
      <c r="AS8" s="206"/>
      <c r="AT8" s="207"/>
      <c r="AU8" s="207"/>
      <c r="AV8" s="207"/>
      <c r="AW8" s="207"/>
      <c r="AX8" s="207"/>
      <c r="AY8" s="207"/>
      <c r="AZ8" s="207"/>
      <c r="BA8" s="207"/>
      <c r="BB8" s="207"/>
      <c r="BC8" s="207"/>
      <c r="BD8" s="209"/>
      <c r="BF8" s="202" t="s">
        <v>207</v>
      </c>
      <c r="BG8" s="206"/>
      <c r="BH8" s="207"/>
      <c r="BI8" s="207"/>
      <c r="BJ8" s="207"/>
      <c r="BK8" s="207"/>
      <c r="BL8" s="207"/>
      <c r="BM8" s="207"/>
      <c r="BN8" s="207"/>
      <c r="BO8" s="207"/>
      <c r="BP8" s="207"/>
      <c r="BQ8" s="207"/>
      <c r="BR8" s="209"/>
      <c r="BT8" s="202" t="s">
        <v>208</v>
      </c>
      <c r="BU8" s="206"/>
      <c r="BV8" s="207"/>
      <c r="BW8" s="207"/>
      <c r="BX8" s="207"/>
      <c r="BY8" s="207"/>
      <c r="BZ8" s="207"/>
      <c r="CA8" s="207"/>
      <c r="CB8" s="207"/>
      <c r="CC8" s="207"/>
      <c r="CD8" s="207"/>
      <c r="CE8" s="207"/>
      <c r="CF8" s="209"/>
    </row>
    <row r="9" spans="2:84" ht="18" customHeight="1" thickBot="1">
      <c r="B9" s="210" t="s">
        <v>190</v>
      </c>
      <c r="C9" s="211"/>
      <c r="D9" s="212"/>
      <c r="E9" s="212"/>
      <c r="F9" s="212"/>
      <c r="G9" s="857"/>
      <c r="H9" s="214">
        <f>MIN(0.95, MAX(0.104, EXP(15175*((G9+273)-303.16)/(1.987*(G9+273)*303.17))))</f>
        <v>0.104</v>
      </c>
      <c r="I9" s="213"/>
      <c r="J9" s="215">
        <f>(B$20*D9*I9*E9*0.8)+L9</f>
        <v>0</v>
      </c>
      <c r="K9" s="212" t="s">
        <v>209</v>
      </c>
      <c r="L9" s="216">
        <v>0</v>
      </c>
      <c r="M9" s="215">
        <f t="shared" ref="M9:M32" si="0">J9*H9</f>
        <v>0</v>
      </c>
      <c r="N9" s="217">
        <f>IFERROR(M9*B$16*0.68*0.001*(F9/E9), 0)</f>
        <v>0</v>
      </c>
      <c r="P9" s="218" t="str">
        <f>$B$9</f>
        <v>-</v>
      </c>
      <c r="Q9" s="219" t="str">
        <f>IF($C9=0, "", $C9)</f>
        <v/>
      </c>
      <c r="R9" s="212"/>
      <c r="S9" s="884">
        <f>E9</f>
        <v>0</v>
      </c>
      <c r="T9" s="212"/>
      <c r="U9" s="258">
        <f>G9</f>
        <v>0</v>
      </c>
      <c r="V9" s="214">
        <f>MIN(0.95, MAX(0.104, EXP(15175*((U9+273)-303.16)/(1.987*(U9+273)*303.17))))</f>
        <v>0.104</v>
      </c>
      <c r="W9" s="213"/>
      <c r="X9" s="215">
        <f t="shared" ref="X9:X32" si="1">(P$20*R9*W9*S9*0.8)+Z9</f>
        <v>0</v>
      </c>
      <c r="Y9" s="212" t="s">
        <v>209</v>
      </c>
      <c r="Z9" s="216">
        <v>0</v>
      </c>
      <c r="AA9" s="215">
        <f t="shared" ref="AA9:AA32" si="2">X9*V9</f>
        <v>0</v>
      </c>
      <c r="AB9" s="217">
        <f>IFERROR(AA9*P$16*0.68*0.001*(T9/S9), 0)</f>
        <v>0</v>
      </c>
      <c r="AD9" s="218" t="str">
        <f>$B$9</f>
        <v>-</v>
      </c>
      <c r="AE9" s="219" t="str">
        <f>IF($C9=0, "", $C9)</f>
        <v/>
      </c>
      <c r="AF9" s="212"/>
      <c r="AG9" s="884">
        <f>E9</f>
        <v>0</v>
      </c>
      <c r="AH9" s="212"/>
      <c r="AI9" s="258">
        <f>G9</f>
        <v>0</v>
      </c>
      <c r="AJ9" s="214">
        <f>MIN(0.95, MAX(0.104, EXP(15175*((AI9+273)-303.16)/(1.987*(AI9+273)*303.17))))</f>
        <v>0.104</v>
      </c>
      <c r="AK9" s="213"/>
      <c r="AL9" s="215">
        <f t="shared" ref="AL9:AL32" si="3">(AD$20*AF9*AK9*AG9*0.8)+AN9</f>
        <v>0</v>
      </c>
      <c r="AM9" s="212" t="s">
        <v>209</v>
      </c>
      <c r="AN9" s="216">
        <v>0</v>
      </c>
      <c r="AO9" s="215">
        <f t="shared" ref="AO9:AO32" si="4">AL9*AJ9</f>
        <v>0</v>
      </c>
      <c r="AP9" s="217">
        <f>IFERROR(AO9*AD$16*0.68*0.001*(AH9/AG9), 0)</f>
        <v>0</v>
      </c>
      <c r="AR9" s="218" t="str">
        <f>$B$9</f>
        <v>-</v>
      </c>
      <c r="AS9" s="219" t="str">
        <f>IF($C9=0, "", $C9)</f>
        <v/>
      </c>
      <c r="AT9" s="212"/>
      <c r="AU9" s="884">
        <f>E9</f>
        <v>0</v>
      </c>
      <c r="AV9" s="212"/>
      <c r="AW9" s="258">
        <f>G9</f>
        <v>0</v>
      </c>
      <c r="AX9" s="214">
        <f>MIN(0.95, MAX(0.104, EXP(15175*((AW9+273)-303.16)/(1.987*(AW9+273)*303.17))))</f>
        <v>0.104</v>
      </c>
      <c r="AY9" s="213"/>
      <c r="AZ9" s="215">
        <f t="shared" ref="AZ9:AZ32" si="5">(AR$20*AT9*AY9*AU9*0.8)+BB9</f>
        <v>0</v>
      </c>
      <c r="BA9" s="212" t="s">
        <v>209</v>
      </c>
      <c r="BB9" s="216">
        <v>0</v>
      </c>
      <c r="BC9" s="215">
        <f t="shared" ref="BC9:BC32" si="6">AZ9*AX9</f>
        <v>0</v>
      </c>
      <c r="BD9" s="217">
        <f>IFERROR(BC9*AR$16*0.68*0.001*(AV9/AU9), 0)</f>
        <v>0</v>
      </c>
      <c r="BF9" s="218" t="str">
        <f>$B$9</f>
        <v>-</v>
      </c>
      <c r="BG9" s="219" t="str">
        <f>IF($C9=0, "", $C9)</f>
        <v/>
      </c>
      <c r="BH9" s="212"/>
      <c r="BI9" s="884">
        <f>E9</f>
        <v>0</v>
      </c>
      <c r="BJ9" s="212"/>
      <c r="BK9" s="258">
        <f>G9</f>
        <v>0</v>
      </c>
      <c r="BL9" s="214">
        <f>MIN(0.95, MAX(0.104, EXP(15175*((BK9+273)-303.16)/(1.987*(BK9+273)*303.17))))</f>
        <v>0.104</v>
      </c>
      <c r="BM9" s="213"/>
      <c r="BN9" s="215">
        <f t="shared" ref="BN9:BN32" si="7">(BF$20*BH9*BM9*BI9*0.8)+BP9</f>
        <v>0</v>
      </c>
      <c r="BO9" s="212" t="s">
        <v>209</v>
      </c>
      <c r="BP9" s="216">
        <v>0</v>
      </c>
      <c r="BQ9" s="215">
        <f t="shared" ref="BQ9:BQ32" si="8">BN9*BL9</f>
        <v>0</v>
      </c>
      <c r="BR9" s="217">
        <f>IFERROR(BQ9*BF$16*0.68*0.001*(BJ9/BI9), 0)</f>
        <v>0</v>
      </c>
      <c r="BT9" s="218" t="str">
        <f>$B$9</f>
        <v>-</v>
      </c>
      <c r="BU9" s="219" t="str">
        <f>IF($C9=0, "", $C9)</f>
        <v/>
      </c>
      <c r="BV9" s="212"/>
      <c r="BW9" s="884">
        <f>E9</f>
        <v>0</v>
      </c>
      <c r="BX9" s="212"/>
      <c r="BY9" s="258">
        <f>G9</f>
        <v>0</v>
      </c>
      <c r="BZ9" s="214">
        <f>MIN(0.95, MAX(0.104, EXP(15175*((BY9+273)-303.16)/(1.987*(BY9+273)*303.17))))</f>
        <v>0.104</v>
      </c>
      <c r="CA9" s="213"/>
      <c r="CB9" s="215">
        <f t="shared" ref="CB9:CB32" si="9">(BT$20*BV9*CA9*BW9*0.8)+CD9</f>
        <v>0</v>
      </c>
      <c r="CC9" s="212" t="s">
        <v>209</v>
      </c>
      <c r="CD9" s="216">
        <v>0</v>
      </c>
      <c r="CE9" s="215">
        <f t="shared" ref="CE9:CE32" si="10">CB9*BZ9</f>
        <v>0</v>
      </c>
      <c r="CF9" s="217">
        <f>IFERROR(CE9*BT$16*0.68*0.001*(BX9/BW9), 0)</f>
        <v>0</v>
      </c>
    </row>
    <row r="10" spans="2:84" ht="18" customHeight="1">
      <c r="B10" s="220" t="s">
        <v>210</v>
      </c>
      <c r="C10" s="211"/>
      <c r="D10" s="212"/>
      <c r="E10" s="212"/>
      <c r="F10" s="212"/>
      <c r="G10" s="857"/>
      <c r="H10" s="214">
        <f t="shared" ref="H10:H32" si="11">MIN(0.95, MAX(0.104, EXP(15175*((G10+273)-303.16)/(1.987*(G10+273)*303.17))))</f>
        <v>0.104</v>
      </c>
      <c r="I10" s="213"/>
      <c r="J10" s="215">
        <f t="shared" ref="J10:J32" si="12">(B$20*D10*I10*E10*0.8)+L10</f>
        <v>0</v>
      </c>
      <c r="K10" s="212" t="s">
        <v>209</v>
      </c>
      <c r="L10" s="215">
        <f>IF(K9="Not Applicable", (J9-M9), 0)</f>
        <v>0</v>
      </c>
      <c r="M10" s="215">
        <f t="shared" si="0"/>
        <v>0</v>
      </c>
      <c r="N10" s="217">
        <f t="shared" ref="N10:N32" si="13">IFERROR(M10*B$16*0.68*0.001*(F10/E10), 0)</f>
        <v>0</v>
      </c>
      <c r="P10" s="220" t="s">
        <v>211</v>
      </c>
      <c r="Q10" s="219" t="str">
        <f t="shared" ref="Q10:Q32" si="14">IF($C10=0, "", $C10)</f>
        <v/>
      </c>
      <c r="R10" s="212"/>
      <c r="S10" s="884">
        <f t="shared" ref="S10:S32" si="15">E10</f>
        <v>0</v>
      </c>
      <c r="T10" s="212"/>
      <c r="U10" s="258">
        <f t="shared" ref="U10:U32" si="16">G10</f>
        <v>0</v>
      </c>
      <c r="V10" s="214">
        <f t="shared" ref="V10:V32" si="17">MIN(0.95, MAX(0.104, EXP(15175*((U10+273)-303.16)/(1.987*(U10+273)*303.17))))</f>
        <v>0.104</v>
      </c>
      <c r="W10" s="213"/>
      <c r="X10" s="215">
        <f t="shared" si="1"/>
        <v>0</v>
      </c>
      <c r="Y10" s="212" t="s">
        <v>209</v>
      </c>
      <c r="Z10" s="215">
        <f>IF(Y9="Not Applicable", (X9-AA9), 0)</f>
        <v>0</v>
      </c>
      <c r="AA10" s="215">
        <f t="shared" si="2"/>
        <v>0</v>
      </c>
      <c r="AB10" s="217">
        <f t="shared" ref="AB10:AB32" si="18">IFERROR(AA10*P$16*0.68*0.001*(T10/S10), 0)</f>
        <v>0</v>
      </c>
      <c r="AD10" s="220" t="s">
        <v>212</v>
      </c>
      <c r="AE10" s="219" t="str">
        <f t="shared" ref="AE10:AE32" si="19">IF($C10=0, "", $C10)</f>
        <v/>
      </c>
      <c r="AF10" s="212"/>
      <c r="AG10" s="884">
        <f t="shared" ref="AG10:AG32" si="20">E10</f>
        <v>0</v>
      </c>
      <c r="AH10" s="212"/>
      <c r="AI10" s="258">
        <f t="shared" ref="AI10:AI32" si="21">G10</f>
        <v>0</v>
      </c>
      <c r="AJ10" s="214">
        <f t="shared" ref="AJ10:AJ32" si="22">MIN(0.95, MAX(0.104, EXP(15175*((AI10+273)-303.16)/(1.987*(AI10+273)*303.17))))</f>
        <v>0.104</v>
      </c>
      <c r="AK10" s="213"/>
      <c r="AL10" s="215">
        <f t="shared" si="3"/>
        <v>0</v>
      </c>
      <c r="AM10" s="212" t="s">
        <v>209</v>
      </c>
      <c r="AN10" s="215">
        <f>IF(AM9="Not Applicable", (AL9-AO9), 0)</f>
        <v>0</v>
      </c>
      <c r="AO10" s="215">
        <f t="shared" si="4"/>
        <v>0</v>
      </c>
      <c r="AP10" s="217">
        <f t="shared" ref="AP10:AP32" si="23">IFERROR(AO10*AD$16*0.68*0.001*(AH10/AG10), 0)</f>
        <v>0</v>
      </c>
      <c r="AR10" s="220" t="s">
        <v>213</v>
      </c>
      <c r="AS10" s="219" t="str">
        <f t="shared" ref="AS10:AS32" si="24">IF($C10=0, "", $C10)</f>
        <v/>
      </c>
      <c r="AT10" s="212"/>
      <c r="AU10" s="884">
        <f t="shared" ref="AU10:AU32" si="25">E10</f>
        <v>0</v>
      </c>
      <c r="AV10" s="212"/>
      <c r="AW10" s="258">
        <f t="shared" ref="AW10:AW32" si="26">G10</f>
        <v>0</v>
      </c>
      <c r="AX10" s="214">
        <f t="shared" ref="AX10:AX32" si="27">MIN(0.95, MAX(0.104, EXP(15175*((AW10+273)-303.16)/(1.987*(AW10+273)*303.17))))</f>
        <v>0.104</v>
      </c>
      <c r="AY10" s="213"/>
      <c r="AZ10" s="215">
        <f t="shared" si="5"/>
        <v>0</v>
      </c>
      <c r="BA10" s="212" t="s">
        <v>209</v>
      </c>
      <c r="BB10" s="215">
        <f>IF(BA9="Not Applicable", (AZ9-BC9), 0)</f>
        <v>0</v>
      </c>
      <c r="BC10" s="215">
        <f t="shared" si="6"/>
        <v>0</v>
      </c>
      <c r="BD10" s="217">
        <f t="shared" ref="BD10:BD32" si="28">IFERROR(BC10*AR$16*0.68*0.001*(AV10/AU10), 0)</f>
        <v>0</v>
      </c>
      <c r="BF10" s="220" t="s">
        <v>214</v>
      </c>
      <c r="BG10" s="219" t="str">
        <f t="shared" ref="BG10:BG32" si="29">IF($C10=0, "", $C10)</f>
        <v/>
      </c>
      <c r="BH10" s="212"/>
      <c r="BI10" s="884">
        <f t="shared" ref="BI10:BI32" si="30">E10</f>
        <v>0</v>
      </c>
      <c r="BJ10" s="212"/>
      <c r="BK10" s="258">
        <f t="shared" ref="BK10:BK32" si="31">G10</f>
        <v>0</v>
      </c>
      <c r="BL10" s="214">
        <f t="shared" ref="BL10:BL32" si="32">MIN(0.95, MAX(0.104, EXP(15175*((BK10+273)-303.16)/(1.987*(BK10+273)*303.17))))</f>
        <v>0.104</v>
      </c>
      <c r="BM10" s="213"/>
      <c r="BN10" s="215">
        <f t="shared" si="7"/>
        <v>0</v>
      </c>
      <c r="BO10" s="212" t="s">
        <v>209</v>
      </c>
      <c r="BP10" s="215">
        <f>IF(BO9="Not Applicable", (BN9-BQ9), 0)</f>
        <v>0</v>
      </c>
      <c r="BQ10" s="215">
        <f t="shared" si="8"/>
        <v>0</v>
      </c>
      <c r="BR10" s="217">
        <f t="shared" ref="BR10:BR32" si="33">IFERROR(BQ10*BF$16*0.68*0.001*(BJ10/BI10), 0)</f>
        <v>0</v>
      </c>
      <c r="BT10" s="220" t="s">
        <v>215</v>
      </c>
      <c r="BU10" s="219" t="str">
        <f t="shared" ref="BU10:BU32" si="34">IF($C10=0, "", $C10)</f>
        <v/>
      </c>
      <c r="BV10" s="212"/>
      <c r="BW10" s="884">
        <f t="shared" ref="BW10:BW32" si="35">E10</f>
        <v>0</v>
      </c>
      <c r="BX10" s="212"/>
      <c r="BY10" s="258">
        <f t="shared" ref="BY10:BY32" si="36">G10</f>
        <v>0</v>
      </c>
      <c r="BZ10" s="214">
        <f t="shared" ref="BZ10:BZ32" si="37">MIN(0.95, MAX(0.104, EXP(15175*((BY10+273)-303.16)/(1.987*(BY10+273)*303.17))))</f>
        <v>0.104</v>
      </c>
      <c r="CA10" s="213"/>
      <c r="CB10" s="215">
        <f t="shared" si="9"/>
        <v>0</v>
      </c>
      <c r="CC10" s="212" t="s">
        <v>209</v>
      </c>
      <c r="CD10" s="215">
        <f>IF(CC9="Not Applicable", (CB9-CE9), 0)</f>
        <v>0</v>
      </c>
      <c r="CE10" s="215">
        <f t="shared" si="10"/>
        <v>0</v>
      </c>
      <c r="CF10" s="217">
        <f t="shared" ref="CF10:CF32" si="38">IFERROR(CE10*BT$16*0.68*0.001*(BX10/BW10), 0)</f>
        <v>0</v>
      </c>
    </row>
    <row r="11" spans="2:84" ht="18" customHeight="1">
      <c r="B11" s="221" t="s">
        <v>216</v>
      </c>
      <c r="C11" s="211"/>
      <c r="D11" s="212"/>
      <c r="E11" s="212"/>
      <c r="F11" s="212"/>
      <c r="G11" s="857"/>
      <c r="H11" s="214">
        <f t="shared" si="11"/>
        <v>0.104</v>
      </c>
      <c r="I11" s="213"/>
      <c r="J11" s="215">
        <f t="shared" si="12"/>
        <v>0</v>
      </c>
      <c r="K11" s="212" t="s">
        <v>209</v>
      </c>
      <c r="L11" s="215">
        <f t="shared" ref="L11:L32" si="39">IF(K10="Not Applicable", (J10-M10), 0)</f>
        <v>0</v>
      </c>
      <c r="M11" s="215">
        <f t="shared" si="0"/>
        <v>0</v>
      </c>
      <c r="N11" s="217">
        <f t="shared" si="13"/>
        <v>0</v>
      </c>
      <c r="P11" s="221" t="s">
        <v>216</v>
      </c>
      <c r="Q11" s="219" t="str">
        <f t="shared" si="14"/>
        <v/>
      </c>
      <c r="R11" s="212"/>
      <c r="S11" s="884">
        <f t="shared" si="15"/>
        <v>0</v>
      </c>
      <c r="T11" s="212"/>
      <c r="U11" s="258">
        <f t="shared" si="16"/>
        <v>0</v>
      </c>
      <c r="V11" s="214">
        <f t="shared" si="17"/>
        <v>0.104</v>
      </c>
      <c r="W11" s="213"/>
      <c r="X11" s="215">
        <f t="shared" si="1"/>
        <v>0</v>
      </c>
      <c r="Y11" s="212" t="s">
        <v>209</v>
      </c>
      <c r="Z11" s="215">
        <f t="shared" ref="Z11:Z32" si="40">IF(Y10="Not Applicable", (X10-AA10), 0)</f>
        <v>0</v>
      </c>
      <c r="AA11" s="215">
        <f t="shared" si="2"/>
        <v>0</v>
      </c>
      <c r="AB11" s="217">
        <f t="shared" si="18"/>
        <v>0</v>
      </c>
      <c r="AD11" s="221" t="s">
        <v>216</v>
      </c>
      <c r="AE11" s="219" t="str">
        <f t="shared" si="19"/>
        <v/>
      </c>
      <c r="AF11" s="212"/>
      <c r="AG11" s="884">
        <f t="shared" si="20"/>
        <v>0</v>
      </c>
      <c r="AH11" s="212"/>
      <c r="AI11" s="258">
        <f t="shared" si="21"/>
        <v>0</v>
      </c>
      <c r="AJ11" s="214">
        <f t="shared" si="22"/>
        <v>0.104</v>
      </c>
      <c r="AK11" s="213"/>
      <c r="AL11" s="215">
        <f t="shared" si="3"/>
        <v>0</v>
      </c>
      <c r="AM11" s="212" t="s">
        <v>209</v>
      </c>
      <c r="AN11" s="215">
        <f t="shared" ref="AN11:AN32" si="41">IF(AM10="Not Applicable", (AL10-AO10), 0)</f>
        <v>0</v>
      </c>
      <c r="AO11" s="215">
        <f t="shared" si="4"/>
        <v>0</v>
      </c>
      <c r="AP11" s="217">
        <f t="shared" si="23"/>
        <v>0</v>
      </c>
      <c r="AR11" s="221" t="s">
        <v>216</v>
      </c>
      <c r="AS11" s="219" t="str">
        <f t="shared" si="24"/>
        <v/>
      </c>
      <c r="AT11" s="212"/>
      <c r="AU11" s="884">
        <f t="shared" si="25"/>
        <v>0</v>
      </c>
      <c r="AV11" s="212"/>
      <c r="AW11" s="258">
        <f t="shared" si="26"/>
        <v>0</v>
      </c>
      <c r="AX11" s="214">
        <f t="shared" si="27"/>
        <v>0.104</v>
      </c>
      <c r="AY11" s="213"/>
      <c r="AZ11" s="215">
        <f t="shared" si="5"/>
        <v>0</v>
      </c>
      <c r="BA11" s="212" t="s">
        <v>209</v>
      </c>
      <c r="BB11" s="215">
        <f t="shared" ref="BB11:BB32" si="42">IF(BA10="Not Applicable", (AZ10-BC10), 0)</f>
        <v>0</v>
      </c>
      <c r="BC11" s="215">
        <f t="shared" si="6"/>
        <v>0</v>
      </c>
      <c r="BD11" s="217">
        <f t="shared" si="28"/>
        <v>0</v>
      </c>
      <c r="BF11" s="221" t="s">
        <v>216</v>
      </c>
      <c r="BG11" s="219" t="str">
        <f t="shared" si="29"/>
        <v/>
      </c>
      <c r="BH11" s="212"/>
      <c r="BI11" s="884">
        <f t="shared" si="30"/>
        <v>0</v>
      </c>
      <c r="BJ11" s="212"/>
      <c r="BK11" s="258">
        <f t="shared" si="31"/>
        <v>0</v>
      </c>
      <c r="BL11" s="214">
        <f t="shared" si="32"/>
        <v>0.104</v>
      </c>
      <c r="BM11" s="213"/>
      <c r="BN11" s="215">
        <f t="shared" si="7"/>
        <v>0</v>
      </c>
      <c r="BO11" s="212" t="s">
        <v>209</v>
      </c>
      <c r="BP11" s="215">
        <f t="shared" ref="BP11:BP32" si="43">IF(BO10="Not Applicable", (BN10-BQ10), 0)</f>
        <v>0</v>
      </c>
      <c r="BQ11" s="215">
        <f t="shared" si="8"/>
        <v>0</v>
      </c>
      <c r="BR11" s="217">
        <f t="shared" si="33"/>
        <v>0</v>
      </c>
      <c r="BT11" s="221" t="s">
        <v>216</v>
      </c>
      <c r="BU11" s="219" t="str">
        <f t="shared" si="34"/>
        <v/>
      </c>
      <c r="BV11" s="212"/>
      <c r="BW11" s="884">
        <f t="shared" si="35"/>
        <v>0</v>
      </c>
      <c r="BX11" s="212"/>
      <c r="BY11" s="258">
        <f t="shared" si="36"/>
        <v>0</v>
      </c>
      <c r="BZ11" s="214">
        <f t="shared" si="37"/>
        <v>0.104</v>
      </c>
      <c r="CA11" s="213"/>
      <c r="CB11" s="215">
        <f t="shared" si="9"/>
        <v>0</v>
      </c>
      <c r="CC11" s="212" t="s">
        <v>209</v>
      </c>
      <c r="CD11" s="215">
        <f t="shared" ref="CD11:CD32" si="44">IF(CC10="Not Applicable", (CB10-CE10), 0)</f>
        <v>0</v>
      </c>
      <c r="CE11" s="215">
        <f t="shared" si="10"/>
        <v>0</v>
      </c>
      <c r="CF11" s="217">
        <f t="shared" si="38"/>
        <v>0</v>
      </c>
    </row>
    <row r="12" spans="2:84" ht="18" customHeight="1" thickBot="1">
      <c r="B12" s="222">
        <f>IFERROR(VLOOKUP(B7, Reference!$A$94:$B$103, 2, FALSE), 0)</f>
        <v>0</v>
      </c>
      <c r="C12" s="211"/>
      <c r="D12" s="212"/>
      <c r="E12" s="212"/>
      <c r="F12" s="212"/>
      <c r="G12" s="857"/>
      <c r="H12" s="214">
        <f t="shared" si="11"/>
        <v>0.104</v>
      </c>
      <c r="I12" s="213"/>
      <c r="J12" s="215">
        <f t="shared" si="12"/>
        <v>0</v>
      </c>
      <c r="K12" s="212" t="s">
        <v>209</v>
      </c>
      <c r="L12" s="215">
        <f t="shared" si="39"/>
        <v>0</v>
      </c>
      <c r="M12" s="215">
        <f t="shared" si="0"/>
        <v>0</v>
      </c>
      <c r="N12" s="217">
        <f t="shared" si="13"/>
        <v>0</v>
      </c>
      <c r="P12" s="222">
        <f>IFERROR(VLOOKUP(P7, Reference!$A$94:$B$103, 2, FALSE), 0)</f>
        <v>0</v>
      </c>
      <c r="Q12" s="219" t="str">
        <f t="shared" si="14"/>
        <v/>
      </c>
      <c r="R12" s="212"/>
      <c r="S12" s="884">
        <f t="shared" si="15"/>
        <v>0</v>
      </c>
      <c r="T12" s="212"/>
      <c r="U12" s="258">
        <f t="shared" si="16"/>
        <v>0</v>
      </c>
      <c r="V12" s="214">
        <f t="shared" si="17"/>
        <v>0.104</v>
      </c>
      <c r="W12" s="213"/>
      <c r="X12" s="215">
        <f t="shared" si="1"/>
        <v>0</v>
      </c>
      <c r="Y12" s="212" t="s">
        <v>209</v>
      </c>
      <c r="Z12" s="215">
        <f t="shared" si="40"/>
        <v>0</v>
      </c>
      <c r="AA12" s="215">
        <f t="shared" si="2"/>
        <v>0</v>
      </c>
      <c r="AB12" s="217">
        <f t="shared" si="18"/>
        <v>0</v>
      </c>
      <c r="AD12" s="222">
        <f>IFERROR(VLOOKUP(AD7, Reference!$A$94:$B$103, 2, FALSE), 0)</f>
        <v>0</v>
      </c>
      <c r="AE12" s="219" t="str">
        <f t="shared" si="19"/>
        <v/>
      </c>
      <c r="AF12" s="212"/>
      <c r="AG12" s="884">
        <f t="shared" si="20"/>
        <v>0</v>
      </c>
      <c r="AH12" s="212"/>
      <c r="AI12" s="258">
        <f t="shared" si="21"/>
        <v>0</v>
      </c>
      <c r="AJ12" s="214">
        <f t="shared" si="22"/>
        <v>0.104</v>
      </c>
      <c r="AK12" s="213"/>
      <c r="AL12" s="215">
        <f t="shared" si="3"/>
        <v>0</v>
      </c>
      <c r="AM12" s="212" t="s">
        <v>209</v>
      </c>
      <c r="AN12" s="215">
        <f t="shared" si="41"/>
        <v>0</v>
      </c>
      <c r="AO12" s="215">
        <f t="shared" si="4"/>
        <v>0</v>
      </c>
      <c r="AP12" s="217">
        <f t="shared" si="23"/>
        <v>0</v>
      </c>
      <c r="AR12" s="222">
        <f>IFERROR(VLOOKUP(AR7, Reference!$A$94:$B$103, 2, FALSE), 0)</f>
        <v>0</v>
      </c>
      <c r="AS12" s="219" t="str">
        <f t="shared" si="24"/>
        <v/>
      </c>
      <c r="AT12" s="212"/>
      <c r="AU12" s="884">
        <f t="shared" si="25"/>
        <v>0</v>
      </c>
      <c r="AV12" s="212"/>
      <c r="AW12" s="258">
        <f t="shared" si="26"/>
        <v>0</v>
      </c>
      <c r="AX12" s="214">
        <f t="shared" si="27"/>
        <v>0.104</v>
      </c>
      <c r="AY12" s="213"/>
      <c r="AZ12" s="215">
        <f t="shared" si="5"/>
        <v>0</v>
      </c>
      <c r="BA12" s="212" t="s">
        <v>209</v>
      </c>
      <c r="BB12" s="215">
        <f t="shared" si="42"/>
        <v>0</v>
      </c>
      <c r="BC12" s="215">
        <f t="shared" si="6"/>
        <v>0</v>
      </c>
      <c r="BD12" s="217">
        <f t="shared" si="28"/>
        <v>0</v>
      </c>
      <c r="BF12" s="222">
        <f>IFERROR(VLOOKUP(BF7, Reference!$A$94:$B$103, 2, FALSE), 0)</f>
        <v>0</v>
      </c>
      <c r="BG12" s="219" t="str">
        <f t="shared" si="29"/>
        <v/>
      </c>
      <c r="BH12" s="212"/>
      <c r="BI12" s="884">
        <f t="shared" si="30"/>
        <v>0</v>
      </c>
      <c r="BJ12" s="212"/>
      <c r="BK12" s="258">
        <f t="shared" si="31"/>
        <v>0</v>
      </c>
      <c r="BL12" s="214">
        <f t="shared" si="32"/>
        <v>0.104</v>
      </c>
      <c r="BM12" s="213"/>
      <c r="BN12" s="215">
        <f t="shared" si="7"/>
        <v>0</v>
      </c>
      <c r="BO12" s="212" t="s">
        <v>209</v>
      </c>
      <c r="BP12" s="215">
        <f t="shared" si="43"/>
        <v>0</v>
      </c>
      <c r="BQ12" s="215">
        <f t="shared" si="8"/>
        <v>0</v>
      </c>
      <c r="BR12" s="217">
        <f t="shared" si="33"/>
        <v>0</v>
      </c>
      <c r="BT12" s="222">
        <f>IFERROR(VLOOKUP(BT7, Reference!$A$94:$B$103, 2, FALSE), 0)</f>
        <v>0</v>
      </c>
      <c r="BU12" s="219" t="str">
        <f t="shared" si="34"/>
        <v/>
      </c>
      <c r="BV12" s="212"/>
      <c r="BW12" s="884">
        <f t="shared" si="35"/>
        <v>0</v>
      </c>
      <c r="BX12" s="212"/>
      <c r="BY12" s="258">
        <f t="shared" si="36"/>
        <v>0</v>
      </c>
      <c r="BZ12" s="214">
        <f t="shared" si="37"/>
        <v>0.104</v>
      </c>
      <c r="CA12" s="213"/>
      <c r="CB12" s="215">
        <f t="shared" si="9"/>
        <v>0</v>
      </c>
      <c r="CC12" s="212" t="s">
        <v>209</v>
      </c>
      <c r="CD12" s="215">
        <f t="shared" si="44"/>
        <v>0</v>
      </c>
      <c r="CE12" s="215">
        <f t="shared" si="10"/>
        <v>0</v>
      </c>
      <c r="CF12" s="217">
        <f t="shared" si="38"/>
        <v>0</v>
      </c>
    </row>
    <row r="13" spans="2:84" ht="18" customHeight="1" thickBot="1">
      <c r="B13" s="223"/>
      <c r="C13" s="211"/>
      <c r="D13" s="212"/>
      <c r="E13" s="212"/>
      <c r="F13" s="212"/>
      <c r="G13" s="857"/>
      <c r="H13" s="214">
        <f t="shared" si="11"/>
        <v>0.104</v>
      </c>
      <c r="I13" s="213"/>
      <c r="J13" s="215">
        <f t="shared" si="12"/>
        <v>0</v>
      </c>
      <c r="K13" s="212" t="s">
        <v>209</v>
      </c>
      <c r="L13" s="215">
        <f t="shared" si="39"/>
        <v>0</v>
      </c>
      <c r="M13" s="215">
        <f t="shared" si="0"/>
        <v>0</v>
      </c>
      <c r="N13" s="217">
        <f>IFERROR(M13*B$16*0.68*0.001*(F13/E13), 0)</f>
        <v>0</v>
      </c>
      <c r="P13" s="223"/>
      <c r="Q13" s="219" t="str">
        <f t="shared" si="14"/>
        <v/>
      </c>
      <c r="R13" s="212"/>
      <c r="S13" s="884">
        <f t="shared" si="15"/>
        <v>0</v>
      </c>
      <c r="T13" s="212"/>
      <c r="U13" s="258">
        <f t="shared" si="16"/>
        <v>0</v>
      </c>
      <c r="V13" s="214">
        <f t="shared" si="17"/>
        <v>0.104</v>
      </c>
      <c r="W13" s="213"/>
      <c r="X13" s="215">
        <f t="shared" si="1"/>
        <v>0</v>
      </c>
      <c r="Y13" s="212" t="s">
        <v>209</v>
      </c>
      <c r="Z13" s="215">
        <f t="shared" si="40"/>
        <v>0</v>
      </c>
      <c r="AA13" s="215">
        <f t="shared" si="2"/>
        <v>0</v>
      </c>
      <c r="AB13" s="217">
        <f t="shared" si="18"/>
        <v>0</v>
      </c>
      <c r="AD13" s="223"/>
      <c r="AE13" s="219" t="str">
        <f t="shared" si="19"/>
        <v/>
      </c>
      <c r="AF13" s="212"/>
      <c r="AG13" s="884">
        <f t="shared" si="20"/>
        <v>0</v>
      </c>
      <c r="AH13" s="212"/>
      <c r="AI13" s="258">
        <f t="shared" si="21"/>
        <v>0</v>
      </c>
      <c r="AJ13" s="214">
        <f t="shared" si="22"/>
        <v>0.104</v>
      </c>
      <c r="AK13" s="213"/>
      <c r="AL13" s="215">
        <f t="shared" si="3"/>
        <v>0</v>
      </c>
      <c r="AM13" s="212" t="s">
        <v>209</v>
      </c>
      <c r="AN13" s="215">
        <f t="shared" si="41"/>
        <v>0</v>
      </c>
      <c r="AO13" s="215">
        <f t="shared" si="4"/>
        <v>0</v>
      </c>
      <c r="AP13" s="217">
        <f t="shared" si="23"/>
        <v>0</v>
      </c>
      <c r="AR13" s="223"/>
      <c r="AS13" s="219" t="str">
        <f t="shared" si="24"/>
        <v/>
      </c>
      <c r="AT13" s="212"/>
      <c r="AU13" s="884">
        <f t="shared" si="25"/>
        <v>0</v>
      </c>
      <c r="AV13" s="212"/>
      <c r="AW13" s="258">
        <f t="shared" si="26"/>
        <v>0</v>
      </c>
      <c r="AX13" s="214">
        <f t="shared" si="27"/>
        <v>0.104</v>
      </c>
      <c r="AY13" s="213"/>
      <c r="AZ13" s="215">
        <f t="shared" si="5"/>
        <v>0</v>
      </c>
      <c r="BA13" s="212" t="s">
        <v>209</v>
      </c>
      <c r="BB13" s="215">
        <f t="shared" si="42"/>
        <v>0</v>
      </c>
      <c r="BC13" s="215">
        <f t="shared" si="6"/>
        <v>0</v>
      </c>
      <c r="BD13" s="217">
        <f t="shared" si="28"/>
        <v>0</v>
      </c>
      <c r="BF13" s="223"/>
      <c r="BG13" s="219" t="str">
        <f t="shared" si="29"/>
        <v/>
      </c>
      <c r="BH13" s="212"/>
      <c r="BI13" s="884">
        <f t="shared" si="30"/>
        <v>0</v>
      </c>
      <c r="BJ13" s="212"/>
      <c r="BK13" s="258">
        <f t="shared" si="31"/>
        <v>0</v>
      </c>
      <c r="BL13" s="214">
        <f t="shared" si="32"/>
        <v>0.104</v>
      </c>
      <c r="BM13" s="213"/>
      <c r="BN13" s="215">
        <f t="shared" si="7"/>
        <v>0</v>
      </c>
      <c r="BO13" s="212" t="s">
        <v>209</v>
      </c>
      <c r="BP13" s="215">
        <f t="shared" si="43"/>
        <v>0</v>
      </c>
      <c r="BQ13" s="215">
        <f t="shared" si="8"/>
        <v>0</v>
      </c>
      <c r="BR13" s="217">
        <f t="shared" si="33"/>
        <v>0</v>
      </c>
      <c r="BT13" s="223"/>
      <c r="BU13" s="219" t="str">
        <f t="shared" si="34"/>
        <v/>
      </c>
      <c r="BV13" s="212"/>
      <c r="BW13" s="884">
        <f t="shared" si="35"/>
        <v>0</v>
      </c>
      <c r="BX13" s="212"/>
      <c r="BY13" s="258">
        <f t="shared" si="36"/>
        <v>0</v>
      </c>
      <c r="BZ13" s="214">
        <f t="shared" si="37"/>
        <v>0.104</v>
      </c>
      <c r="CA13" s="213"/>
      <c r="CB13" s="215">
        <f t="shared" si="9"/>
        <v>0</v>
      </c>
      <c r="CC13" s="212" t="s">
        <v>209</v>
      </c>
      <c r="CD13" s="215">
        <f t="shared" si="44"/>
        <v>0</v>
      </c>
      <c r="CE13" s="215">
        <f t="shared" si="10"/>
        <v>0</v>
      </c>
      <c r="CF13" s="217">
        <f t="shared" si="38"/>
        <v>0</v>
      </c>
    </row>
    <row r="14" spans="2:84" ht="18" customHeight="1">
      <c r="B14" s="891" t="s">
        <v>217</v>
      </c>
      <c r="C14" s="211"/>
      <c r="D14" s="858"/>
      <c r="E14" s="212"/>
      <c r="F14" s="212"/>
      <c r="G14" s="857"/>
      <c r="H14" s="214">
        <f t="shared" si="11"/>
        <v>0.104</v>
      </c>
      <c r="I14" s="213"/>
      <c r="J14" s="215">
        <f t="shared" si="12"/>
        <v>0</v>
      </c>
      <c r="K14" s="212" t="s">
        <v>209</v>
      </c>
      <c r="L14" s="215">
        <f>IF(K13="Not Applicable", (J13-M13), 0)</f>
        <v>0</v>
      </c>
      <c r="M14" s="215">
        <f>J14*H14</f>
        <v>0</v>
      </c>
      <c r="N14" s="217">
        <f>IFERROR(M14*B$16*0.68*0.001*(F14/E14), 0)</f>
        <v>0</v>
      </c>
      <c r="P14" s="891" t="s">
        <v>218</v>
      </c>
      <c r="Q14" s="219" t="str">
        <f t="shared" si="14"/>
        <v/>
      </c>
      <c r="R14" s="858"/>
      <c r="S14" s="884">
        <f t="shared" si="15"/>
        <v>0</v>
      </c>
      <c r="T14" s="212"/>
      <c r="U14" s="258">
        <f t="shared" si="16"/>
        <v>0</v>
      </c>
      <c r="V14" s="214">
        <f t="shared" si="17"/>
        <v>0.104</v>
      </c>
      <c r="W14" s="213"/>
      <c r="X14" s="215">
        <f t="shared" si="1"/>
        <v>0</v>
      </c>
      <c r="Y14" s="212" t="s">
        <v>209</v>
      </c>
      <c r="Z14" s="215">
        <f t="shared" si="40"/>
        <v>0</v>
      </c>
      <c r="AA14" s="215">
        <f t="shared" si="2"/>
        <v>0</v>
      </c>
      <c r="AB14" s="217">
        <f t="shared" si="18"/>
        <v>0</v>
      </c>
      <c r="AD14" s="891" t="s">
        <v>219</v>
      </c>
      <c r="AE14" s="219" t="str">
        <f t="shared" si="19"/>
        <v/>
      </c>
      <c r="AF14" s="212"/>
      <c r="AG14" s="884">
        <f t="shared" si="20"/>
        <v>0</v>
      </c>
      <c r="AH14" s="212"/>
      <c r="AI14" s="258">
        <f t="shared" si="21"/>
        <v>0</v>
      </c>
      <c r="AJ14" s="214">
        <f t="shared" si="22"/>
        <v>0.104</v>
      </c>
      <c r="AK14" s="213"/>
      <c r="AL14" s="215">
        <f t="shared" si="3"/>
        <v>0</v>
      </c>
      <c r="AM14" s="212" t="s">
        <v>209</v>
      </c>
      <c r="AN14" s="215">
        <f t="shared" si="41"/>
        <v>0</v>
      </c>
      <c r="AO14" s="215">
        <f t="shared" si="4"/>
        <v>0</v>
      </c>
      <c r="AP14" s="217">
        <f t="shared" si="23"/>
        <v>0</v>
      </c>
      <c r="AR14" s="891" t="s">
        <v>220</v>
      </c>
      <c r="AS14" s="219" t="str">
        <f t="shared" si="24"/>
        <v/>
      </c>
      <c r="AT14" s="212"/>
      <c r="AU14" s="884">
        <f t="shared" si="25"/>
        <v>0</v>
      </c>
      <c r="AV14" s="212"/>
      <c r="AW14" s="258">
        <f t="shared" si="26"/>
        <v>0</v>
      </c>
      <c r="AX14" s="214">
        <f t="shared" si="27"/>
        <v>0.104</v>
      </c>
      <c r="AY14" s="213"/>
      <c r="AZ14" s="215">
        <f t="shared" si="5"/>
        <v>0</v>
      </c>
      <c r="BA14" s="212" t="s">
        <v>209</v>
      </c>
      <c r="BB14" s="215">
        <f t="shared" si="42"/>
        <v>0</v>
      </c>
      <c r="BC14" s="215">
        <f t="shared" si="6"/>
        <v>0</v>
      </c>
      <c r="BD14" s="217">
        <f t="shared" si="28"/>
        <v>0</v>
      </c>
      <c r="BF14" s="891" t="s">
        <v>221</v>
      </c>
      <c r="BG14" s="219" t="str">
        <f t="shared" si="29"/>
        <v/>
      </c>
      <c r="BH14" s="212"/>
      <c r="BI14" s="884">
        <f t="shared" si="30"/>
        <v>0</v>
      </c>
      <c r="BJ14" s="212"/>
      <c r="BK14" s="258">
        <f t="shared" si="31"/>
        <v>0</v>
      </c>
      <c r="BL14" s="214">
        <f t="shared" si="32"/>
        <v>0.104</v>
      </c>
      <c r="BM14" s="213"/>
      <c r="BN14" s="215">
        <f t="shared" si="7"/>
        <v>0</v>
      </c>
      <c r="BO14" s="212" t="s">
        <v>209</v>
      </c>
      <c r="BP14" s="215">
        <f t="shared" si="43"/>
        <v>0</v>
      </c>
      <c r="BQ14" s="215">
        <f t="shared" si="8"/>
        <v>0</v>
      </c>
      <c r="BR14" s="217">
        <f t="shared" si="33"/>
        <v>0</v>
      </c>
      <c r="BT14" s="891" t="s">
        <v>222</v>
      </c>
      <c r="BU14" s="219" t="str">
        <f t="shared" si="34"/>
        <v/>
      </c>
      <c r="BV14" s="212"/>
      <c r="BW14" s="884">
        <f t="shared" si="35"/>
        <v>0</v>
      </c>
      <c r="BX14" s="212"/>
      <c r="BY14" s="258">
        <f t="shared" si="36"/>
        <v>0</v>
      </c>
      <c r="BZ14" s="214">
        <f t="shared" si="37"/>
        <v>0.104</v>
      </c>
      <c r="CA14" s="213"/>
      <c r="CB14" s="215">
        <f t="shared" si="9"/>
        <v>0</v>
      </c>
      <c r="CC14" s="212" t="s">
        <v>209</v>
      </c>
      <c r="CD14" s="215">
        <f t="shared" si="44"/>
        <v>0</v>
      </c>
      <c r="CE14" s="215">
        <f t="shared" si="10"/>
        <v>0</v>
      </c>
      <c r="CF14" s="217">
        <f t="shared" si="38"/>
        <v>0</v>
      </c>
    </row>
    <row r="15" spans="2:84" ht="18" customHeight="1">
      <c r="B15" s="202" t="s">
        <v>223</v>
      </c>
      <c r="C15" s="211"/>
      <c r="D15" s="858"/>
      <c r="E15" s="212"/>
      <c r="F15" s="212"/>
      <c r="G15" s="857"/>
      <c r="H15" s="214">
        <f>MIN(0.95, MAX(0.104, EXP(15175*((G15+273)-303.16)/(1.987*(G15+273)*303.17))))</f>
        <v>0.104</v>
      </c>
      <c r="I15" s="213"/>
      <c r="J15" s="215">
        <f t="shared" si="12"/>
        <v>0</v>
      </c>
      <c r="K15" s="212" t="s">
        <v>209</v>
      </c>
      <c r="L15" s="215">
        <f t="shared" si="39"/>
        <v>0</v>
      </c>
      <c r="M15" s="215">
        <f t="shared" si="0"/>
        <v>0</v>
      </c>
      <c r="N15" s="217">
        <f t="shared" si="13"/>
        <v>0</v>
      </c>
      <c r="P15" s="202" t="s">
        <v>223</v>
      </c>
      <c r="Q15" s="219" t="str">
        <f t="shared" si="14"/>
        <v/>
      </c>
      <c r="R15" s="858"/>
      <c r="S15" s="884">
        <f t="shared" si="15"/>
        <v>0</v>
      </c>
      <c r="T15" s="212"/>
      <c r="U15" s="258">
        <f t="shared" si="16"/>
        <v>0</v>
      </c>
      <c r="V15" s="214">
        <f t="shared" si="17"/>
        <v>0.104</v>
      </c>
      <c r="W15" s="213"/>
      <c r="X15" s="215">
        <f t="shared" si="1"/>
        <v>0</v>
      </c>
      <c r="Y15" s="212" t="s">
        <v>209</v>
      </c>
      <c r="Z15" s="215">
        <f t="shared" si="40"/>
        <v>0</v>
      </c>
      <c r="AA15" s="215">
        <f t="shared" si="2"/>
        <v>0</v>
      </c>
      <c r="AB15" s="217">
        <f t="shared" si="18"/>
        <v>0</v>
      </c>
      <c r="AD15" s="202" t="s">
        <v>223</v>
      </c>
      <c r="AE15" s="219" t="str">
        <f t="shared" si="19"/>
        <v/>
      </c>
      <c r="AF15" s="212"/>
      <c r="AG15" s="884">
        <f t="shared" si="20"/>
        <v>0</v>
      </c>
      <c r="AH15" s="212"/>
      <c r="AI15" s="258">
        <f t="shared" si="21"/>
        <v>0</v>
      </c>
      <c r="AJ15" s="214">
        <f t="shared" si="22"/>
        <v>0.104</v>
      </c>
      <c r="AK15" s="213"/>
      <c r="AL15" s="215">
        <f t="shared" si="3"/>
        <v>0</v>
      </c>
      <c r="AM15" s="212" t="s">
        <v>209</v>
      </c>
      <c r="AN15" s="215">
        <f t="shared" si="41"/>
        <v>0</v>
      </c>
      <c r="AO15" s="215">
        <f t="shared" si="4"/>
        <v>0</v>
      </c>
      <c r="AP15" s="217">
        <f t="shared" si="23"/>
        <v>0</v>
      </c>
      <c r="AR15" s="202" t="s">
        <v>223</v>
      </c>
      <c r="AS15" s="219" t="str">
        <f t="shared" si="24"/>
        <v/>
      </c>
      <c r="AT15" s="212"/>
      <c r="AU15" s="884">
        <f t="shared" si="25"/>
        <v>0</v>
      </c>
      <c r="AV15" s="212"/>
      <c r="AW15" s="258">
        <f t="shared" si="26"/>
        <v>0</v>
      </c>
      <c r="AX15" s="214">
        <f t="shared" si="27"/>
        <v>0.104</v>
      </c>
      <c r="AY15" s="213"/>
      <c r="AZ15" s="215">
        <f t="shared" si="5"/>
        <v>0</v>
      </c>
      <c r="BA15" s="212" t="s">
        <v>209</v>
      </c>
      <c r="BB15" s="215">
        <f t="shared" si="42"/>
        <v>0</v>
      </c>
      <c r="BC15" s="215">
        <f t="shared" si="6"/>
        <v>0</v>
      </c>
      <c r="BD15" s="217">
        <f t="shared" si="28"/>
        <v>0</v>
      </c>
      <c r="BF15" s="202" t="s">
        <v>223</v>
      </c>
      <c r="BG15" s="219" t="str">
        <f t="shared" si="29"/>
        <v/>
      </c>
      <c r="BH15" s="212"/>
      <c r="BI15" s="884">
        <f t="shared" si="30"/>
        <v>0</v>
      </c>
      <c r="BJ15" s="212"/>
      <c r="BK15" s="258">
        <f t="shared" si="31"/>
        <v>0</v>
      </c>
      <c r="BL15" s="214">
        <f t="shared" si="32"/>
        <v>0.104</v>
      </c>
      <c r="BM15" s="213"/>
      <c r="BN15" s="215">
        <f t="shared" si="7"/>
        <v>0</v>
      </c>
      <c r="BO15" s="212" t="s">
        <v>209</v>
      </c>
      <c r="BP15" s="215">
        <f t="shared" si="43"/>
        <v>0</v>
      </c>
      <c r="BQ15" s="215">
        <f t="shared" si="8"/>
        <v>0</v>
      </c>
      <c r="BR15" s="217">
        <f t="shared" si="33"/>
        <v>0</v>
      </c>
      <c r="BT15" s="202" t="s">
        <v>223</v>
      </c>
      <c r="BU15" s="219" t="str">
        <f t="shared" si="34"/>
        <v/>
      </c>
      <c r="BV15" s="212"/>
      <c r="BW15" s="884">
        <f t="shared" si="35"/>
        <v>0</v>
      </c>
      <c r="BX15" s="212"/>
      <c r="BY15" s="258">
        <f t="shared" si="36"/>
        <v>0</v>
      </c>
      <c r="BZ15" s="214">
        <f t="shared" si="37"/>
        <v>0.104</v>
      </c>
      <c r="CA15" s="213"/>
      <c r="CB15" s="215">
        <f t="shared" si="9"/>
        <v>0</v>
      </c>
      <c r="CC15" s="212" t="s">
        <v>209</v>
      </c>
      <c r="CD15" s="215">
        <f t="shared" si="44"/>
        <v>0</v>
      </c>
      <c r="CE15" s="215">
        <f t="shared" si="10"/>
        <v>0</v>
      </c>
      <c r="CF15" s="217">
        <f t="shared" si="38"/>
        <v>0</v>
      </c>
    </row>
    <row r="16" spans="2:84" ht="18" customHeight="1" thickBot="1">
      <c r="B16" s="222">
        <f>IFERROR(VLOOKUP(B7, Reference!$A$94:$D$103,4, FALSE), 0)</f>
        <v>0</v>
      </c>
      <c r="C16" s="211"/>
      <c r="D16" s="858"/>
      <c r="E16" s="212"/>
      <c r="F16" s="212"/>
      <c r="G16" s="857"/>
      <c r="H16" s="214">
        <f t="shared" si="11"/>
        <v>0.104</v>
      </c>
      <c r="I16" s="213"/>
      <c r="J16" s="215">
        <f t="shared" si="12"/>
        <v>0</v>
      </c>
      <c r="K16" s="212" t="s">
        <v>209</v>
      </c>
      <c r="L16" s="215">
        <f t="shared" si="39"/>
        <v>0</v>
      </c>
      <c r="M16" s="215">
        <f t="shared" si="0"/>
        <v>0</v>
      </c>
      <c r="N16" s="217">
        <f t="shared" si="13"/>
        <v>0</v>
      </c>
      <c r="P16" s="222">
        <f>IFERROR(VLOOKUP(P7, Reference!$A$94:$D$103,4, FALSE), 0)</f>
        <v>0</v>
      </c>
      <c r="Q16" s="219" t="str">
        <f t="shared" si="14"/>
        <v/>
      </c>
      <c r="R16" s="858"/>
      <c r="S16" s="884">
        <f t="shared" si="15"/>
        <v>0</v>
      </c>
      <c r="T16" s="212"/>
      <c r="U16" s="258">
        <f t="shared" si="16"/>
        <v>0</v>
      </c>
      <c r="V16" s="214">
        <f t="shared" si="17"/>
        <v>0.104</v>
      </c>
      <c r="W16" s="213"/>
      <c r="X16" s="215">
        <f t="shared" si="1"/>
        <v>0</v>
      </c>
      <c r="Y16" s="212" t="s">
        <v>209</v>
      </c>
      <c r="Z16" s="215">
        <f t="shared" si="40"/>
        <v>0</v>
      </c>
      <c r="AA16" s="215">
        <f t="shared" si="2"/>
        <v>0</v>
      </c>
      <c r="AB16" s="217">
        <f t="shared" si="18"/>
        <v>0</v>
      </c>
      <c r="AD16" s="222">
        <f>IFERROR(VLOOKUP(AD7, Reference!$A$94:$D$103,4, FALSE), 0)</f>
        <v>0</v>
      </c>
      <c r="AE16" s="219" t="str">
        <f t="shared" si="19"/>
        <v/>
      </c>
      <c r="AF16" s="212"/>
      <c r="AG16" s="884">
        <f t="shared" si="20"/>
        <v>0</v>
      </c>
      <c r="AH16" s="212"/>
      <c r="AI16" s="258">
        <f t="shared" si="21"/>
        <v>0</v>
      </c>
      <c r="AJ16" s="214">
        <f t="shared" si="22"/>
        <v>0.104</v>
      </c>
      <c r="AK16" s="213"/>
      <c r="AL16" s="215">
        <f t="shared" si="3"/>
        <v>0</v>
      </c>
      <c r="AM16" s="212" t="s">
        <v>209</v>
      </c>
      <c r="AN16" s="215">
        <f t="shared" si="41"/>
        <v>0</v>
      </c>
      <c r="AO16" s="215">
        <f t="shared" si="4"/>
        <v>0</v>
      </c>
      <c r="AP16" s="217">
        <f t="shared" si="23"/>
        <v>0</v>
      </c>
      <c r="AR16" s="222">
        <f>IFERROR(VLOOKUP(AR7, Reference!$A$94:$D$103,4, FALSE), 0)</f>
        <v>0</v>
      </c>
      <c r="AS16" s="219" t="str">
        <f t="shared" si="24"/>
        <v/>
      </c>
      <c r="AT16" s="212"/>
      <c r="AU16" s="884">
        <f t="shared" si="25"/>
        <v>0</v>
      </c>
      <c r="AV16" s="212"/>
      <c r="AW16" s="258">
        <f t="shared" si="26"/>
        <v>0</v>
      </c>
      <c r="AX16" s="214">
        <f t="shared" si="27"/>
        <v>0.104</v>
      </c>
      <c r="AY16" s="213"/>
      <c r="AZ16" s="215">
        <f t="shared" si="5"/>
        <v>0</v>
      </c>
      <c r="BA16" s="212" t="s">
        <v>209</v>
      </c>
      <c r="BB16" s="215">
        <f t="shared" si="42"/>
        <v>0</v>
      </c>
      <c r="BC16" s="215">
        <f t="shared" si="6"/>
        <v>0</v>
      </c>
      <c r="BD16" s="217">
        <f t="shared" si="28"/>
        <v>0</v>
      </c>
      <c r="BF16" s="222">
        <f>IFERROR(VLOOKUP(BF7, Reference!$A$94:$D$103,4, FALSE), 0)</f>
        <v>0</v>
      </c>
      <c r="BG16" s="219" t="str">
        <f t="shared" si="29"/>
        <v/>
      </c>
      <c r="BH16" s="212"/>
      <c r="BI16" s="884">
        <f t="shared" si="30"/>
        <v>0</v>
      </c>
      <c r="BJ16" s="212"/>
      <c r="BK16" s="258">
        <f t="shared" si="31"/>
        <v>0</v>
      </c>
      <c r="BL16" s="214">
        <f t="shared" si="32"/>
        <v>0.104</v>
      </c>
      <c r="BM16" s="213"/>
      <c r="BN16" s="215">
        <f t="shared" si="7"/>
        <v>0</v>
      </c>
      <c r="BO16" s="212" t="s">
        <v>209</v>
      </c>
      <c r="BP16" s="215">
        <f t="shared" si="43"/>
        <v>0</v>
      </c>
      <c r="BQ16" s="215">
        <f t="shared" si="8"/>
        <v>0</v>
      </c>
      <c r="BR16" s="217">
        <f t="shared" si="33"/>
        <v>0</v>
      </c>
      <c r="BT16" s="222">
        <f>IFERROR(VLOOKUP(BT7, Reference!$A$94:$D$103,4, FALSE), 0)</f>
        <v>0</v>
      </c>
      <c r="BU16" s="219" t="str">
        <f t="shared" si="34"/>
        <v/>
      </c>
      <c r="BV16" s="212"/>
      <c r="BW16" s="884">
        <f t="shared" si="35"/>
        <v>0</v>
      </c>
      <c r="BX16" s="212"/>
      <c r="BY16" s="258">
        <f t="shared" si="36"/>
        <v>0</v>
      </c>
      <c r="BZ16" s="214">
        <f t="shared" si="37"/>
        <v>0.104</v>
      </c>
      <c r="CA16" s="213"/>
      <c r="CB16" s="215">
        <f t="shared" si="9"/>
        <v>0</v>
      </c>
      <c r="CC16" s="212" t="s">
        <v>209</v>
      </c>
      <c r="CD16" s="215">
        <f t="shared" si="44"/>
        <v>0</v>
      </c>
      <c r="CE16" s="215">
        <f t="shared" si="10"/>
        <v>0</v>
      </c>
      <c r="CF16" s="217">
        <f t="shared" si="38"/>
        <v>0</v>
      </c>
    </row>
    <row r="17" spans="2:84" ht="18" customHeight="1" thickBot="1">
      <c r="B17" s="224"/>
      <c r="C17" s="211"/>
      <c r="D17" s="858"/>
      <c r="E17" s="212"/>
      <c r="F17" s="212"/>
      <c r="G17" s="857"/>
      <c r="H17" s="214">
        <f t="shared" si="11"/>
        <v>0.104</v>
      </c>
      <c r="I17" s="213"/>
      <c r="J17" s="215">
        <f t="shared" si="12"/>
        <v>0</v>
      </c>
      <c r="K17" s="212" t="s">
        <v>209</v>
      </c>
      <c r="L17" s="215">
        <f t="shared" si="39"/>
        <v>0</v>
      </c>
      <c r="M17" s="215">
        <f t="shared" si="0"/>
        <v>0</v>
      </c>
      <c r="N17" s="217">
        <f t="shared" si="13"/>
        <v>0</v>
      </c>
      <c r="P17" s="224"/>
      <c r="Q17" s="219" t="str">
        <f t="shared" si="14"/>
        <v/>
      </c>
      <c r="R17" s="858"/>
      <c r="S17" s="884">
        <f t="shared" si="15"/>
        <v>0</v>
      </c>
      <c r="T17" s="212"/>
      <c r="U17" s="258">
        <f t="shared" si="16"/>
        <v>0</v>
      </c>
      <c r="V17" s="214">
        <f t="shared" si="17"/>
        <v>0.104</v>
      </c>
      <c r="W17" s="213"/>
      <c r="X17" s="215">
        <f t="shared" si="1"/>
        <v>0</v>
      </c>
      <c r="Y17" s="212" t="s">
        <v>209</v>
      </c>
      <c r="Z17" s="215">
        <f t="shared" si="40"/>
        <v>0</v>
      </c>
      <c r="AA17" s="215">
        <f t="shared" si="2"/>
        <v>0</v>
      </c>
      <c r="AB17" s="217">
        <f t="shared" si="18"/>
        <v>0</v>
      </c>
      <c r="AD17" s="224"/>
      <c r="AE17" s="219" t="str">
        <f t="shared" si="19"/>
        <v/>
      </c>
      <c r="AF17" s="212"/>
      <c r="AG17" s="884">
        <f t="shared" si="20"/>
        <v>0</v>
      </c>
      <c r="AH17" s="212"/>
      <c r="AI17" s="258">
        <f t="shared" si="21"/>
        <v>0</v>
      </c>
      <c r="AJ17" s="214">
        <f t="shared" si="22"/>
        <v>0.104</v>
      </c>
      <c r="AK17" s="213"/>
      <c r="AL17" s="215">
        <f t="shared" si="3"/>
        <v>0</v>
      </c>
      <c r="AM17" s="212" t="s">
        <v>209</v>
      </c>
      <c r="AN17" s="215">
        <f t="shared" si="41"/>
        <v>0</v>
      </c>
      <c r="AO17" s="215">
        <f t="shared" si="4"/>
        <v>0</v>
      </c>
      <c r="AP17" s="217">
        <f t="shared" si="23"/>
        <v>0</v>
      </c>
      <c r="AR17" s="224"/>
      <c r="AS17" s="219" t="str">
        <f t="shared" si="24"/>
        <v/>
      </c>
      <c r="AT17" s="212"/>
      <c r="AU17" s="884">
        <f t="shared" si="25"/>
        <v>0</v>
      </c>
      <c r="AV17" s="212"/>
      <c r="AW17" s="258">
        <f t="shared" si="26"/>
        <v>0</v>
      </c>
      <c r="AX17" s="214">
        <f t="shared" si="27"/>
        <v>0.104</v>
      </c>
      <c r="AY17" s="213"/>
      <c r="AZ17" s="215">
        <f t="shared" si="5"/>
        <v>0</v>
      </c>
      <c r="BA17" s="212" t="s">
        <v>209</v>
      </c>
      <c r="BB17" s="215">
        <f t="shared" si="42"/>
        <v>0</v>
      </c>
      <c r="BC17" s="215">
        <f t="shared" si="6"/>
        <v>0</v>
      </c>
      <c r="BD17" s="217">
        <f t="shared" si="28"/>
        <v>0</v>
      </c>
      <c r="BF17" s="224"/>
      <c r="BG17" s="219" t="str">
        <f t="shared" si="29"/>
        <v/>
      </c>
      <c r="BH17" s="212"/>
      <c r="BI17" s="884">
        <f t="shared" si="30"/>
        <v>0</v>
      </c>
      <c r="BJ17" s="212"/>
      <c r="BK17" s="258">
        <f t="shared" si="31"/>
        <v>0</v>
      </c>
      <c r="BL17" s="214">
        <f t="shared" si="32"/>
        <v>0.104</v>
      </c>
      <c r="BM17" s="213"/>
      <c r="BN17" s="215">
        <f t="shared" si="7"/>
        <v>0</v>
      </c>
      <c r="BO17" s="212" t="s">
        <v>209</v>
      </c>
      <c r="BP17" s="215">
        <f t="shared" si="43"/>
        <v>0</v>
      </c>
      <c r="BQ17" s="215">
        <f t="shared" si="8"/>
        <v>0</v>
      </c>
      <c r="BR17" s="217">
        <f t="shared" si="33"/>
        <v>0</v>
      </c>
      <c r="BT17" s="224"/>
      <c r="BU17" s="219" t="str">
        <f t="shared" si="34"/>
        <v/>
      </c>
      <c r="BV17" s="212"/>
      <c r="BW17" s="884">
        <f t="shared" si="35"/>
        <v>0</v>
      </c>
      <c r="BX17" s="212"/>
      <c r="BY17" s="258">
        <f t="shared" si="36"/>
        <v>0</v>
      </c>
      <c r="BZ17" s="214">
        <f t="shared" si="37"/>
        <v>0.104</v>
      </c>
      <c r="CA17" s="213"/>
      <c r="CB17" s="215">
        <f t="shared" si="9"/>
        <v>0</v>
      </c>
      <c r="CC17" s="212" t="s">
        <v>209</v>
      </c>
      <c r="CD17" s="215">
        <f t="shared" si="44"/>
        <v>0</v>
      </c>
      <c r="CE17" s="215">
        <f t="shared" si="10"/>
        <v>0</v>
      </c>
      <c r="CF17" s="217">
        <f t="shared" si="38"/>
        <v>0</v>
      </c>
    </row>
    <row r="18" spans="2:84" ht="18" customHeight="1">
      <c r="B18" s="891" t="s">
        <v>224</v>
      </c>
      <c r="C18" s="211"/>
      <c r="D18" s="858"/>
      <c r="E18" s="212"/>
      <c r="F18" s="212"/>
      <c r="G18" s="857"/>
      <c r="H18" s="214">
        <f t="shared" si="11"/>
        <v>0.104</v>
      </c>
      <c r="I18" s="213"/>
      <c r="J18" s="215">
        <f t="shared" si="12"/>
        <v>0</v>
      </c>
      <c r="K18" s="212" t="s">
        <v>209</v>
      </c>
      <c r="L18" s="215">
        <f t="shared" si="39"/>
        <v>0</v>
      </c>
      <c r="M18" s="215">
        <f t="shared" si="0"/>
        <v>0</v>
      </c>
      <c r="N18" s="217">
        <f t="shared" si="13"/>
        <v>0</v>
      </c>
      <c r="P18" s="891" t="s">
        <v>225</v>
      </c>
      <c r="Q18" s="219" t="str">
        <f t="shared" si="14"/>
        <v/>
      </c>
      <c r="R18" s="858"/>
      <c r="S18" s="884">
        <f t="shared" si="15"/>
        <v>0</v>
      </c>
      <c r="T18" s="212"/>
      <c r="U18" s="258">
        <f t="shared" si="16"/>
        <v>0</v>
      </c>
      <c r="V18" s="214">
        <f t="shared" si="17"/>
        <v>0.104</v>
      </c>
      <c r="W18" s="213"/>
      <c r="X18" s="215">
        <f t="shared" si="1"/>
        <v>0</v>
      </c>
      <c r="Y18" s="212" t="s">
        <v>209</v>
      </c>
      <c r="Z18" s="215">
        <f t="shared" si="40"/>
        <v>0</v>
      </c>
      <c r="AA18" s="215">
        <f t="shared" si="2"/>
        <v>0</v>
      </c>
      <c r="AB18" s="217">
        <f t="shared" si="18"/>
        <v>0</v>
      </c>
      <c r="AD18" s="891" t="s">
        <v>226</v>
      </c>
      <c r="AE18" s="219" t="str">
        <f t="shared" si="19"/>
        <v/>
      </c>
      <c r="AF18" s="212"/>
      <c r="AG18" s="884">
        <f t="shared" si="20"/>
        <v>0</v>
      </c>
      <c r="AH18" s="212"/>
      <c r="AI18" s="258">
        <f t="shared" si="21"/>
        <v>0</v>
      </c>
      <c r="AJ18" s="214">
        <f t="shared" si="22"/>
        <v>0.104</v>
      </c>
      <c r="AK18" s="213"/>
      <c r="AL18" s="215">
        <f t="shared" si="3"/>
        <v>0</v>
      </c>
      <c r="AM18" s="212" t="s">
        <v>209</v>
      </c>
      <c r="AN18" s="215">
        <f t="shared" si="41"/>
        <v>0</v>
      </c>
      <c r="AO18" s="215">
        <f t="shared" si="4"/>
        <v>0</v>
      </c>
      <c r="AP18" s="217">
        <f t="shared" si="23"/>
        <v>0</v>
      </c>
      <c r="AR18" s="891" t="s">
        <v>227</v>
      </c>
      <c r="AS18" s="219" t="str">
        <f t="shared" si="24"/>
        <v/>
      </c>
      <c r="AT18" s="212"/>
      <c r="AU18" s="884">
        <f t="shared" si="25"/>
        <v>0</v>
      </c>
      <c r="AV18" s="212"/>
      <c r="AW18" s="258">
        <f t="shared" si="26"/>
        <v>0</v>
      </c>
      <c r="AX18" s="214">
        <f t="shared" si="27"/>
        <v>0.104</v>
      </c>
      <c r="AY18" s="213"/>
      <c r="AZ18" s="215">
        <f t="shared" si="5"/>
        <v>0</v>
      </c>
      <c r="BA18" s="212" t="s">
        <v>209</v>
      </c>
      <c r="BB18" s="215">
        <f t="shared" si="42"/>
        <v>0</v>
      </c>
      <c r="BC18" s="215">
        <f t="shared" si="6"/>
        <v>0</v>
      </c>
      <c r="BD18" s="217">
        <f t="shared" si="28"/>
        <v>0</v>
      </c>
      <c r="BF18" s="891" t="s">
        <v>228</v>
      </c>
      <c r="BG18" s="219" t="str">
        <f t="shared" si="29"/>
        <v/>
      </c>
      <c r="BH18" s="212"/>
      <c r="BI18" s="884">
        <f t="shared" si="30"/>
        <v>0</v>
      </c>
      <c r="BJ18" s="212"/>
      <c r="BK18" s="258">
        <f t="shared" si="31"/>
        <v>0</v>
      </c>
      <c r="BL18" s="214">
        <f t="shared" si="32"/>
        <v>0.104</v>
      </c>
      <c r="BM18" s="213"/>
      <c r="BN18" s="215">
        <f t="shared" si="7"/>
        <v>0</v>
      </c>
      <c r="BO18" s="212" t="s">
        <v>209</v>
      </c>
      <c r="BP18" s="215">
        <f t="shared" si="43"/>
        <v>0</v>
      </c>
      <c r="BQ18" s="215">
        <f t="shared" si="8"/>
        <v>0</v>
      </c>
      <c r="BR18" s="217">
        <f t="shared" si="33"/>
        <v>0</v>
      </c>
      <c r="BT18" s="891" t="s">
        <v>229</v>
      </c>
      <c r="BU18" s="219" t="str">
        <f t="shared" si="34"/>
        <v/>
      </c>
      <c r="BV18" s="212"/>
      <c r="BW18" s="884">
        <f t="shared" si="35"/>
        <v>0</v>
      </c>
      <c r="BX18" s="212"/>
      <c r="BY18" s="258">
        <f t="shared" si="36"/>
        <v>0</v>
      </c>
      <c r="BZ18" s="214">
        <f t="shared" si="37"/>
        <v>0.104</v>
      </c>
      <c r="CA18" s="213"/>
      <c r="CB18" s="215">
        <f t="shared" si="9"/>
        <v>0</v>
      </c>
      <c r="CC18" s="212" t="s">
        <v>209</v>
      </c>
      <c r="CD18" s="215">
        <f t="shared" si="44"/>
        <v>0</v>
      </c>
      <c r="CE18" s="215">
        <f t="shared" si="10"/>
        <v>0</v>
      </c>
      <c r="CF18" s="217">
        <f t="shared" si="38"/>
        <v>0</v>
      </c>
    </row>
    <row r="19" spans="2:84" ht="18" customHeight="1">
      <c r="B19" s="221" t="s">
        <v>230</v>
      </c>
      <c r="C19" s="211"/>
      <c r="D19" s="858"/>
      <c r="E19" s="212"/>
      <c r="F19" s="212"/>
      <c r="G19" s="857"/>
      <c r="H19" s="214">
        <f>MIN(0.95, MAX(0.104, EXP(15175*((G19+273)-303.16)/(1.987*(G19+273)*303.17))))</f>
        <v>0.104</v>
      </c>
      <c r="I19" s="213"/>
      <c r="J19" s="215">
        <f t="shared" si="12"/>
        <v>0</v>
      </c>
      <c r="K19" s="212" t="s">
        <v>209</v>
      </c>
      <c r="L19" s="215">
        <f t="shared" si="39"/>
        <v>0</v>
      </c>
      <c r="M19" s="215">
        <f t="shared" si="0"/>
        <v>0</v>
      </c>
      <c r="N19" s="217">
        <f t="shared" si="13"/>
        <v>0</v>
      </c>
      <c r="P19" s="221" t="s">
        <v>230</v>
      </c>
      <c r="Q19" s="219" t="str">
        <f t="shared" si="14"/>
        <v/>
      </c>
      <c r="R19" s="858"/>
      <c r="S19" s="884">
        <f t="shared" si="15"/>
        <v>0</v>
      </c>
      <c r="T19" s="212"/>
      <c r="U19" s="258">
        <f t="shared" si="16"/>
        <v>0</v>
      </c>
      <c r="V19" s="214">
        <f t="shared" si="17"/>
        <v>0.104</v>
      </c>
      <c r="W19" s="213"/>
      <c r="X19" s="215">
        <f t="shared" si="1"/>
        <v>0</v>
      </c>
      <c r="Y19" s="212" t="s">
        <v>209</v>
      </c>
      <c r="Z19" s="215">
        <f t="shared" si="40"/>
        <v>0</v>
      </c>
      <c r="AA19" s="215">
        <f t="shared" si="2"/>
        <v>0</v>
      </c>
      <c r="AB19" s="217">
        <f t="shared" si="18"/>
        <v>0</v>
      </c>
      <c r="AD19" s="221" t="s">
        <v>230</v>
      </c>
      <c r="AE19" s="219" t="str">
        <f t="shared" si="19"/>
        <v/>
      </c>
      <c r="AF19" s="212"/>
      <c r="AG19" s="884">
        <f t="shared" si="20"/>
        <v>0</v>
      </c>
      <c r="AH19" s="212"/>
      <c r="AI19" s="258">
        <f t="shared" si="21"/>
        <v>0</v>
      </c>
      <c r="AJ19" s="214">
        <f t="shared" si="22"/>
        <v>0.104</v>
      </c>
      <c r="AK19" s="213"/>
      <c r="AL19" s="215">
        <f t="shared" si="3"/>
        <v>0</v>
      </c>
      <c r="AM19" s="212" t="s">
        <v>209</v>
      </c>
      <c r="AN19" s="215">
        <f t="shared" si="41"/>
        <v>0</v>
      </c>
      <c r="AO19" s="215">
        <f t="shared" si="4"/>
        <v>0</v>
      </c>
      <c r="AP19" s="217">
        <f t="shared" si="23"/>
        <v>0</v>
      </c>
      <c r="AR19" s="221" t="s">
        <v>230</v>
      </c>
      <c r="AS19" s="219" t="str">
        <f t="shared" si="24"/>
        <v/>
      </c>
      <c r="AT19" s="212"/>
      <c r="AU19" s="884">
        <f t="shared" si="25"/>
        <v>0</v>
      </c>
      <c r="AV19" s="212"/>
      <c r="AW19" s="258">
        <f t="shared" si="26"/>
        <v>0</v>
      </c>
      <c r="AX19" s="214">
        <f t="shared" si="27"/>
        <v>0.104</v>
      </c>
      <c r="AY19" s="213"/>
      <c r="AZ19" s="215">
        <f t="shared" si="5"/>
        <v>0</v>
      </c>
      <c r="BA19" s="212" t="s">
        <v>209</v>
      </c>
      <c r="BB19" s="215">
        <f t="shared" si="42"/>
        <v>0</v>
      </c>
      <c r="BC19" s="215">
        <f t="shared" si="6"/>
        <v>0</v>
      </c>
      <c r="BD19" s="217">
        <f t="shared" si="28"/>
        <v>0</v>
      </c>
      <c r="BF19" s="221" t="s">
        <v>230</v>
      </c>
      <c r="BG19" s="219" t="str">
        <f t="shared" si="29"/>
        <v/>
      </c>
      <c r="BH19" s="212"/>
      <c r="BI19" s="884">
        <f t="shared" si="30"/>
        <v>0</v>
      </c>
      <c r="BJ19" s="212"/>
      <c r="BK19" s="258">
        <f t="shared" si="31"/>
        <v>0</v>
      </c>
      <c r="BL19" s="214">
        <f t="shared" si="32"/>
        <v>0.104</v>
      </c>
      <c r="BM19" s="213"/>
      <c r="BN19" s="215">
        <f t="shared" si="7"/>
        <v>0</v>
      </c>
      <c r="BO19" s="212" t="s">
        <v>209</v>
      </c>
      <c r="BP19" s="215">
        <f t="shared" si="43"/>
        <v>0</v>
      </c>
      <c r="BQ19" s="215">
        <f t="shared" si="8"/>
        <v>0</v>
      </c>
      <c r="BR19" s="217">
        <f t="shared" si="33"/>
        <v>0</v>
      </c>
      <c r="BT19" s="221" t="s">
        <v>230</v>
      </c>
      <c r="BU19" s="219" t="str">
        <f t="shared" si="34"/>
        <v/>
      </c>
      <c r="BV19" s="212"/>
      <c r="BW19" s="884">
        <f t="shared" si="35"/>
        <v>0</v>
      </c>
      <c r="BX19" s="212"/>
      <c r="BY19" s="258">
        <f t="shared" si="36"/>
        <v>0</v>
      </c>
      <c r="BZ19" s="214">
        <f t="shared" si="37"/>
        <v>0.104</v>
      </c>
      <c r="CA19" s="213"/>
      <c r="CB19" s="215">
        <f t="shared" si="9"/>
        <v>0</v>
      </c>
      <c r="CC19" s="212" t="s">
        <v>209</v>
      </c>
      <c r="CD19" s="215">
        <f t="shared" si="44"/>
        <v>0</v>
      </c>
      <c r="CE19" s="215">
        <f t="shared" si="10"/>
        <v>0</v>
      </c>
      <c r="CF19" s="217">
        <f t="shared" si="38"/>
        <v>0</v>
      </c>
    </row>
    <row r="20" spans="2:84" ht="18" customHeight="1" thickBot="1">
      <c r="B20" s="222">
        <f>IFERROR(VLOOKUP(B7, Reference!$A$94:$D$103, 3, FALSE)*B12/1000, 0)</f>
        <v>0</v>
      </c>
      <c r="C20" s="211"/>
      <c r="D20" s="858"/>
      <c r="E20" s="212"/>
      <c r="F20" s="212"/>
      <c r="G20" s="857"/>
      <c r="H20" s="214">
        <f t="shared" si="11"/>
        <v>0.104</v>
      </c>
      <c r="I20" s="213"/>
      <c r="J20" s="215">
        <f t="shared" si="12"/>
        <v>0</v>
      </c>
      <c r="K20" s="212" t="s">
        <v>209</v>
      </c>
      <c r="L20" s="215">
        <f t="shared" si="39"/>
        <v>0</v>
      </c>
      <c r="M20" s="215">
        <f t="shared" si="0"/>
        <v>0</v>
      </c>
      <c r="N20" s="217">
        <f t="shared" si="13"/>
        <v>0</v>
      </c>
      <c r="P20" s="222">
        <f>IFERROR(VLOOKUP(P7, Reference!$A$94:$D$103, 3, FALSE)*P12/1000, 0)</f>
        <v>0</v>
      </c>
      <c r="Q20" s="219" t="str">
        <f t="shared" si="14"/>
        <v/>
      </c>
      <c r="R20" s="858"/>
      <c r="S20" s="884">
        <f t="shared" si="15"/>
        <v>0</v>
      </c>
      <c r="T20" s="212"/>
      <c r="U20" s="258">
        <f t="shared" si="16"/>
        <v>0</v>
      </c>
      <c r="V20" s="214">
        <f t="shared" si="17"/>
        <v>0.104</v>
      </c>
      <c r="W20" s="213"/>
      <c r="X20" s="215">
        <f t="shared" si="1"/>
        <v>0</v>
      </c>
      <c r="Y20" s="212" t="s">
        <v>209</v>
      </c>
      <c r="Z20" s="215">
        <f t="shared" si="40"/>
        <v>0</v>
      </c>
      <c r="AA20" s="215">
        <f t="shared" si="2"/>
        <v>0</v>
      </c>
      <c r="AB20" s="217">
        <f t="shared" si="18"/>
        <v>0</v>
      </c>
      <c r="AD20" s="222">
        <f>IFERROR(VLOOKUP(AD7, Reference!$A$94:$D$103, 3, FALSE)*AD12/1000, 0)</f>
        <v>0</v>
      </c>
      <c r="AE20" s="219" t="str">
        <f t="shared" si="19"/>
        <v/>
      </c>
      <c r="AF20" s="212"/>
      <c r="AG20" s="884">
        <f t="shared" si="20"/>
        <v>0</v>
      </c>
      <c r="AH20" s="212"/>
      <c r="AI20" s="258">
        <f t="shared" si="21"/>
        <v>0</v>
      </c>
      <c r="AJ20" s="214">
        <f t="shared" si="22"/>
        <v>0.104</v>
      </c>
      <c r="AK20" s="213"/>
      <c r="AL20" s="215">
        <f t="shared" si="3"/>
        <v>0</v>
      </c>
      <c r="AM20" s="212" t="s">
        <v>209</v>
      </c>
      <c r="AN20" s="215">
        <f t="shared" si="41"/>
        <v>0</v>
      </c>
      <c r="AO20" s="215">
        <f t="shared" si="4"/>
        <v>0</v>
      </c>
      <c r="AP20" s="217">
        <f t="shared" si="23"/>
        <v>0</v>
      </c>
      <c r="AR20" s="222">
        <f>IFERROR(VLOOKUP(AR7, Reference!$A$94:$D$103, 3, FALSE)*AR12/1000, 0)</f>
        <v>0</v>
      </c>
      <c r="AS20" s="219" t="str">
        <f t="shared" si="24"/>
        <v/>
      </c>
      <c r="AT20" s="212"/>
      <c r="AU20" s="884">
        <f t="shared" si="25"/>
        <v>0</v>
      </c>
      <c r="AV20" s="212"/>
      <c r="AW20" s="258">
        <f t="shared" si="26"/>
        <v>0</v>
      </c>
      <c r="AX20" s="214">
        <f t="shared" si="27"/>
        <v>0.104</v>
      </c>
      <c r="AY20" s="213"/>
      <c r="AZ20" s="215">
        <f t="shared" si="5"/>
        <v>0</v>
      </c>
      <c r="BA20" s="212" t="s">
        <v>209</v>
      </c>
      <c r="BB20" s="215">
        <f t="shared" si="42"/>
        <v>0</v>
      </c>
      <c r="BC20" s="215">
        <f t="shared" si="6"/>
        <v>0</v>
      </c>
      <c r="BD20" s="217">
        <f t="shared" si="28"/>
        <v>0</v>
      </c>
      <c r="BF20" s="222">
        <f>IFERROR(VLOOKUP(BF7, Reference!$A$94:$D$103, 3, FALSE)*BF12/1000, 0)</f>
        <v>0</v>
      </c>
      <c r="BG20" s="219" t="str">
        <f t="shared" si="29"/>
        <v/>
      </c>
      <c r="BH20" s="212"/>
      <c r="BI20" s="884">
        <f t="shared" si="30"/>
        <v>0</v>
      </c>
      <c r="BJ20" s="212"/>
      <c r="BK20" s="258">
        <f t="shared" si="31"/>
        <v>0</v>
      </c>
      <c r="BL20" s="214">
        <f t="shared" si="32"/>
        <v>0.104</v>
      </c>
      <c r="BM20" s="213"/>
      <c r="BN20" s="215">
        <f t="shared" si="7"/>
        <v>0</v>
      </c>
      <c r="BO20" s="212" t="s">
        <v>209</v>
      </c>
      <c r="BP20" s="215">
        <f t="shared" si="43"/>
        <v>0</v>
      </c>
      <c r="BQ20" s="215">
        <f t="shared" si="8"/>
        <v>0</v>
      </c>
      <c r="BR20" s="217">
        <f t="shared" si="33"/>
        <v>0</v>
      </c>
      <c r="BT20" s="222">
        <f>IFERROR(VLOOKUP(BT7, Reference!$A$94:$D$103, 3, FALSE)*BT12/1000, 0)</f>
        <v>0</v>
      </c>
      <c r="BU20" s="219" t="str">
        <f t="shared" si="34"/>
        <v/>
      </c>
      <c r="BV20" s="212"/>
      <c r="BW20" s="884">
        <f t="shared" si="35"/>
        <v>0</v>
      </c>
      <c r="BX20" s="212"/>
      <c r="BY20" s="258">
        <f t="shared" si="36"/>
        <v>0</v>
      </c>
      <c r="BZ20" s="214">
        <f t="shared" si="37"/>
        <v>0.104</v>
      </c>
      <c r="CA20" s="213"/>
      <c r="CB20" s="215">
        <f t="shared" si="9"/>
        <v>0</v>
      </c>
      <c r="CC20" s="212" t="s">
        <v>209</v>
      </c>
      <c r="CD20" s="215">
        <f t="shared" si="44"/>
        <v>0</v>
      </c>
      <c r="CE20" s="215">
        <f t="shared" si="10"/>
        <v>0</v>
      </c>
      <c r="CF20" s="217">
        <f t="shared" si="38"/>
        <v>0</v>
      </c>
    </row>
    <row r="21" spans="2:84" ht="18" customHeight="1" thickBot="1">
      <c r="B21" s="224"/>
      <c r="C21" s="211"/>
      <c r="D21" s="212"/>
      <c r="E21" s="212"/>
      <c r="F21" s="212"/>
      <c r="G21" s="213"/>
      <c r="H21" s="214">
        <f>MIN(0.95, MAX(0.104, EXP(15175*((G21+273)-303.16)/(1.987*(G21+273)*303.17))))</f>
        <v>0.104</v>
      </c>
      <c r="I21" s="213"/>
      <c r="J21" s="215">
        <f t="shared" si="12"/>
        <v>0</v>
      </c>
      <c r="K21" s="212" t="s">
        <v>209</v>
      </c>
      <c r="L21" s="215">
        <f t="shared" si="39"/>
        <v>0</v>
      </c>
      <c r="M21" s="215">
        <f t="shared" si="0"/>
        <v>0</v>
      </c>
      <c r="N21" s="217">
        <f t="shared" si="13"/>
        <v>0</v>
      </c>
      <c r="P21" s="224"/>
      <c r="Q21" s="219" t="str">
        <f t="shared" si="14"/>
        <v/>
      </c>
      <c r="R21" s="212"/>
      <c r="S21" s="884">
        <f t="shared" si="15"/>
        <v>0</v>
      </c>
      <c r="T21" s="212"/>
      <c r="U21" s="258">
        <f t="shared" si="16"/>
        <v>0</v>
      </c>
      <c r="V21" s="214">
        <f t="shared" si="17"/>
        <v>0.104</v>
      </c>
      <c r="W21" s="213"/>
      <c r="X21" s="215">
        <f t="shared" si="1"/>
        <v>0</v>
      </c>
      <c r="Y21" s="212" t="s">
        <v>209</v>
      </c>
      <c r="Z21" s="215">
        <f t="shared" si="40"/>
        <v>0</v>
      </c>
      <c r="AA21" s="215">
        <f t="shared" si="2"/>
        <v>0</v>
      </c>
      <c r="AB21" s="217">
        <f t="shared" si="18"/>
        <v>0</v>
      </c>
      <c r="AD21" s="224"/>
      <c r="AE21" s="219" t="str">
        <f t="shared" si="19"/>
        <v/>
      </c>
      <c r="AF21" s="212"/>
      <c r="AG21" s="884">
        <f t="shared" si="20"/>
        <v>0</v>
      </c>
      <c r="AH21" s="212"/>
      <c r="AI21" s="258">
        <f t="shared" si="21"/>
        <v>0</v>
      </c>
      <c r="AJ21" s="214">
        <f t="shared" si="22"/>
        <v>0.104</v>
      </c>
      <c r="AK21" s="213"/>
      <c r="AL21" s="215">
        <f t="shared" si="3"/>
        <v>0</v>
      </c>
      <c r="AM21" s="212" t="s">
        <v>209</v>
      </c>
      <c r="AN21" s="215">
        <f t="shared" si="41"/>
        <v>0</v>
      </c>
      <c r="AO21" s="215">
        <f t="shared" si="4"/>
        <v>0</v>
      </c>
      <c r="AP21" s="217">
        <f t="shared" si="23"/>
        <v>0</v>
      </c>
      <c r="AR21" s="224"/>
      <c r="AS21" s="219" t="str">
        <f t="shared" si="24"/>
        <v/>
      </c>
      <c r="AT21" s="212"/>
      <c r="AU21" s="884">
        <f t="shared" si="25"/>
        <v>0</v>
      </c>
      <c r="AV21" s="212"/>
      <c r="AW21" s="258">
        <f t="shared" si="26"/>
        <v>0</v>
      </c>
      <c r="AX21" s="214">
        <f t="shared" si="27"/>
        <v>0.104</v>
      </c>
      <c r="AY21" s="213"/>
      <c r="AZ21" s="215">
        <f t="shared" si="5"/>
        <v>0</v>
      </c>
      <c r="BA21" s="212" t="s">
        <v>209</v>
      </c>
      <c r="BB21" s="215">
        <f t="shared" si="42"/>
        <v>0</v>
      </c>
      <c r="BC21" s="215">
        <f t="shared" si="6"/>
        <v>0</v>
      </c>
      <c r="BD21" s="217">
        <f t="shared" si="28"/>
        <v>0</v>
      </c>
      <c r="BF21" s="224"/>
      <c r="BG21" s="219" t="str">
        <f t="shared" si="29"/>
        <v/>
      </c>
      <c r="BH21" s="212"/>
      <c r="BI21" s="884">
        <f t="shared" si="30"/>
        <v>0</v>
      </c>
      <c r="BJ21" s="212"/>
      <c r="BK21" s="258">
        <f t="shared" si="31"/>
        <v>0</v>
      </c>
      <c r="BL21" s="214">
        <f t="shared" si="32"/>
        <v>0.104</v>
      </c>
      <c r="BM21" s="213"/>
      <c r="BN21" s="215">
        <f t="shared" si="7"/>
        <v>0</v>
      </c>
      <c r="BO21" s="212" t="s">
        <v>209</v>
      </c>
      <c r="BP21" s="215">
        <f t="shared" si="43"/>
        <v>0</v>
      </c>
      <c r="BQ21" s="215">
        <f t="shared" si="8"/>
        <v>0</v>
      </c>
      <c r="BR21" s="217">
        <f t="shared" si="33"/>
        <v>0</v>
      </c>
      <c r="BT21" s="224"/>
      <c r="BU21" s="219" t="str">
        <f t="shared" si="34"/>
        <v/>
      </c>
      <c r="BV21" s="212"/>
      <c r="BW21" s="884">
        <f t="shared" si="35"/>
        <v>0</v>
      </c>
      <c r="BX21" s="212"/>
      <c r="BY21" s="258">
        <f t="shared" si="36"/>
        <v>0</v>
      </c>
      <c r="BZ21" s="214">
        <f t="shared" si="37"/>
        <v>0.104</v>
      </c>
      <c r="CA21" s="213"/>
      <c r="CB21" s="215">
        <f t="shared" si="9"/>
        <v>0</v>
      </c>
      <c r="CC21" s="212" t="s">
        <v>209</v>
      </c>
      <c r="CD21" s="215">
        <f t="shared" si="44"/>
        <v>0</v>
      </c>
      <c r="CE21" s="215">
        <f t="shared" si="10"/>
        <v>0</v>
      </c>
      <c r="CF21" s="217">
        <f t="shared" si="38"/>
        <v>0</v>
      </c>
    </row>
    <row r="22" spans="2:84" ht="18" customHeight="1">
      <c r="B22" s="891" t="s">
        <v>231</v>
      </c>
      <c r="C22" s="211"/>
      <c r="D22" s="212"/>
      <c r="E22" s="212"/>
      <c r="F22" s="212"/>
      <c r="G22" s="213"/>
      <c r="H22" s="214">
        <f t="shared" si="11"/>
        <v>0.104</v>
      </c>
      <c r="I22" s="213"/>
      <c r="J22" s="215">
        <f t="shared" si="12"/>
        <v>0</v>
      </c>
      <c r="K22" s="212" t="s">
        <v>209</v>
      </c>
      <c r="L22" s="215">
        <f t="shared" si="39"/>
        <v>0</v>
      </c>
      <c r="M22" s="215">
        <f t="shared" si="0"/>
        <v>0</v>
      </c>
      <c r="N22" s="217">
        <f t="shared" si="13"/>
        <v>0</v>
      </c>
      <c r="P22" s="891" t="s">
        <v>232</v>
      </c>
      <c r="Q22" s="219" t="str">
        <f t="shared" si="14"/>
        <v/>
      </c>
      <c r="R22" s="212"/>
      <c r="S22" s="884">
        <f t="shared" si="15"/>
        <v>0</v>
      </c>
      <c r="T22" s="212"/>
      <c r="U22" s="258">
        <f t="shared" si="16"/>
        <v>0</v>
      </c>
      <c r="V22" s="214">
        <f t="shared" si="17"/>
        <v>0.104</v>
      </c>
      <c r="W22" s="213"/>
      <c r="X22" s="215">
        <f t="shared" si="1"/>
        <v>0</v>
      </c>
      <c r="Y22" s="212" t="s">
        <v>209</v>
      </c>
      <c r="Z22" s="215">
        <f t="shared" si="40"/>
        <v>0</v>
      </c>
      <c r="AA22" s="215">
        <f t="shared" si="2"/>
        <v>0</v>
      </c>
      <c r="AB22" s="217">
        <f t="shared" si="18"/>
        <v>0</v>
      </c>
      <c r="AD22" s="891" t="s">
        <v>233</v>
      </c>
      <c r="AE22" s="219" t="str">
        <f t="shared" si="19"/>
        <v/>
      </c>
      <c r="AF22" s="212"/>
      <c r="AG22" s="884">
        <f t="shared" si="20"/>
        <v>0</v>
      </c>
      <c r="AH22" s="212"/>
      <c r="AI22" s="258">
        <f t="shared" si="21"/>
        <v>0</v>
      </c>
      <c r="AJ22" s="214">
        <f t="shared" si="22"/>
        <v>0.104</v>
      </c>
      <c r="AK22" s="213"/>
      <c r="AL22" s="215">
        <f t="shared" si="3"/>
        <v>0</v>
      </c>
      <c r="AM22" s="212" t="s">
        <v>209</v>
      </c>
      <c r="AN22" s="215">
        <f t="shared" si="41"/>
        <v>0</v>
      </c>
      <c r="AO22" s="215">
        <f t="shared" si="4"/>
        <v>0</v>
      </c>
      <c r="AP22" s="217">
        <f t="shared" si="23"/>
        <v>0</v>
      </c>
      <c r="AR22" s="891" t="s">
        <v>234</v>
      </c>
      <c r="AS22" s="219" t="str">
        <f t="shared" si="24"/>
        <v/>
      </c>
      <c r="AT22" s="212"/>
      <c r="AU22" s="884">
        <f t="shared" si="25"/>
        <v>0</v>
      </c>
      <c r="AV22" s="212"/>
      <c r="AW22" s="258">
        <f t="shared" si="26"/>
        <v>0</v>
      </c>
      <c r="AX22" s="214">
        <f t="shared" si="27"/>
        <v>0.104</v>
      </c>
      <c r="AY22" s="213"/>
      <c r="AZ22" s="215">
        <f t="shared" si="5"/>
        <v>0</v>
      </c>
      <c r="BA22" s="212" t="s">
        <v>209</v>
      </c>
      <c r="BB22" s="215">
        <f t="shared" si="42"/>
        <v>0</v>
      </c>
      <c r="BC22" s="215">
        <f t="shared" si="6"/>
        <v>0</v>
      </c>
      <c r="BD22" s="217">
        <f t="shared" si="28"/>
        <v>0</v>
      </c>
      <c r="BF22" s="891" t="s">
        <v>235</v>
      </c>
      <c r="BG22" s="219" t="str">
        <f t="shared" si="29"/>
        <v/>
      </c>
      <c r="BH22" s="212"/>
      <c r="BI22" s="884">
        <f t="shared" si="30"/>
        <v>0</v>
      </c>
      <c r="BJ22" s="212"/>
      <c r="BK22" s="258">
        <f t="shared" si="31"/>
        <v>0</v>
      </c>
      <c r="BL22" s="214">
        <f t="shared" si="32"/>
        <v>0.104</v>
      </c>
      <c r="BM22" s="213"/>
      <c r="BN22" s="215">
        <f t="shared" si="7"/>
        <v>0</v>
      </c>
      <c r="BO22" s="212" t="s">
        <v>209</v>
      </c>
      <c r="BP22" s="215">
        <f t="shared" si="43"/>
        <v>0</v>
      </c>
      <c r="BQ22" s="215">
        <f t="shared" si="8"/>
        <v>0</v>
      </c>
      <c r="BR22" s="217">
        <f t="shared" si="33"/>
        <v>0</v>
      </c>
      <c r="BT22" s="891" t="s">
        <v>236</v>
      </c>
      <c r="BU22" s="219" t="str">
        <f t="shared" si="34"/>
        <v/>
      </c>
      <c r="BV22" s="212"/>
      <c r="BW22" s="884">
        <f t="shared" si="35"/>
        <v>0</v>
      </c>
      <c r="BX22" s="212"/>
      <c r="BY22" s="258">
        <f t="shared" si="36"/>
        <v>0</v>
      </c>
      <c r="BZ22" s="214">
        <f t="shared" si="37"/>
        <v>0.104</v>
      </c>
      <c r="CA22" s="213"/>
      <c r="CB22" s="215">
        <f t="shared" si="9"/>
        <v>0</v>
      </c>
      <c r="CC22" s="212" t="s">
        <v>209</v>
      </c>
      <c r="CD22" s="215">
        <f t="shared" si="44"/>
        <v>0</v>
      </c>
      <c r="CE22" s="215">
        <f t="shared" si="10"/>
        <v>0</v>
      </c>
      <c r="CF22" s="217">
        <f t="shared" si="38"/>
        <v>0</v>
      </c>
    </row>
    <row r="23" spans="2:84" ht="18" customHeight="1" thickBot="1">
      <c r="B23" s="205"/>
      <c r="C23" s="211"/>
      <c r="D23" s="212"/>
      <c r="E23" s="212"/>
      <c r="F23" s="212"/>
      <c r="G23" s="213"/>
      <c r="H23" s="214">
        <f t="shared" si="11"/>
        <v>0.104</v>
      </c>
      <c r="I23" s="213"/>
      <c r="J23" s="215">
        <f t="shared" si="12"/>
        <v>0</v>
      </c>
      <c r="K23" s="212" t="s">
        <v>209</v>
      </c>
      <c r="L23" s="215">
        <f t="shared" si="39"/>
        <v>0</v>
      </c>
      <c r="M23" s="215">
        <f t="shared" si="0"/>
        <v>0</v>
      </c>
      <c r="N23" s="217">
        <f t="shared" si="13"/>
        <v>0</v>
      </c>
      <c r="P23" s="205"/>
      <c r="Q23" s="219" t="str">
        <f t="shared" si="14"/>
        <v/>
      </c>
      <c r="R23" s="212"/>
      <c r="S23" s="884">
        <f t="shared" si="15"/>
        <v>0</v>
      </c>
      <c r="T23" s="212"/>
      <c r="U23" s="258">
        <f t="shared" si="16"/>
        <v>0</v>
      </c>
      <c r="V23" s="214">
        <f t="shared" si="17"/>
        <v>0.104</v>
      </c>
      <c r="W23" s="213"/>
      <c r="X23" s="215">
        <f t="shared" si="1"/>
        <v>0</v>
      </c>
      <c r="Y23" s="212" t="s">
        <v>209</v>
      </c>
      <c r="Z23" s="215">
        <f t="shared" si="40"/>
        <v>0</v>
      </c>
      <c r="AA23" s="215">
        <f t="shared" si="2"/>
        <v>0</v>
      </c>
      <c r="AB23" s="217">
        <f t="shared" si="18"/>
        <v>0</v>
      </c>
      <c r="AD23" s="205"/>
      <c r="AE23" s="219" t="str">
        <f t="shared" si="19"/>
        <v/>
      </c>
      <c r="AF23" s="212"/>
      <c r="AG23" s="884">
        <f t="shared" si="20"/>
        <v>0</v>
      </c>
      <c r="AH23" s="212"/>
      <c r="AI23" s="258">
        <f t="shared" si="21"/>
        <v>0</v>
      </c>
      <c r="AJ23" s="214">
        <f t="shared" si="22"/>
        <v>0.104</v>
      </c>
      <c r="AK23" s="213"/>
      <c r="AL23" s="215">
        <f t="shared" si="3"/>
        <v>0</v>
      </c>
      <c r="AM23" s="212" t="s">
        <v>209</v>
      </c>
      <c r="AN23" s="215">
        <f t="shared" si="41"/>
        <v>0</v>
      </c>
      <c r="AO23" s="215">
        <f t="shared" si="4"/>
        <v>0</v>
      </c>
      <c r="AP23" s="217">
        <f t="shared" si="23"/>
        <v>0</v>
      </c>
      <c r="AR23" s="205"/>
      <c r="AS23" s="219" t="str">
        <f t="shared" si="24"/>
        <v/>
      </c>
      <c r="AT23" s="212"/>
      <c r="AU23" s="884">
        <f t="shared" si="25"/>
        <v>0</v>
      </c>
      <c r="AV23" s="212"/>
      <c r="AW23" s="258">
        <f t="shared" si="26"/>
        <v>0</v>
      </c>
      <c r="AX23" s="214">
        <f t="shared" si="27"/>
        <v>0.104</v>
      </c>
      <c r="AY23" s="213"/>
      <c r="AZ23" s="215">
        <f t="shared" si="5"/>
        <v>0</v>
      </c>
      <c r="BA23" s="212" t="s">
        <v>209</v>
      </c>
      <c r="BB23" s="215">
        <f t="shared" si="42"/>
        <v>0</v>
      </c>
      <c r="BC23" s="215">
        <f t="shared" si="6"/>
        <v>0</v>
      </c>
      <c r="BD23" s="217">
        <f t="shared" si="28"/>
        <v>0</v>
      </c>
      <c r="BF23" s="205"/>
      <c r="BG23" s="219" t="str">
        <f t="shared" si="29"/>
        <v/>
      </c>
      <c r="BH23" s="212"/>
      <c r="BI23" s="884">
        <f t="shared" si="30"/>
        <v>0</v>
      </c>
      <c r="BJ23" s="212"/>
      <c r="BK23" s="258">
        <f t="shared" si="31"/>
        <v>0</v>
      </c>
      <c r="BL23" s="214">
        <f t="shared" si="32"/>
        <v>0.104</v>
      </c>
      <c r="BM23" s="213"/>
      <c r="BN23" s="215">
        <f t="shared" si="7"/>
        <v>0</v>
      </c>
      <c r="BO23" s="212" t="s">
        <v>209</v>
      </c>
      <c r="BP23" s="215">
        <f t="shared" si="43"/>
        <v>0</v>
      </c>
      <c r="BQ23" s="215">
        <f t="shared" si="8"/>
        <v>0</v>
      </c>
      <c r="BR23" s="217">
        <f t="shared" si="33"/>
        <v>0</v>
      </c>
      <c r="BT23" s="205"/>
      <c r="BU23" s="219" t="str">
        <f t="shared" si="34"/>
        <v/>
      </c>
      <c r="BV23" s="212"/>
      <c r="BW23" s="884">
        <f t="shared" si="35"/>
        <v>0</v>
      </c>
      <c r="BX23" s="212"/>
      <c r="BY23" s="258">
        <f t="shared" si="36"/>
        <v>0</v>
      </c>
      <c r="BZ23" s="214">
        <f t="shared" si="37"/>
        <v>0.104</v>
      </c>
      <c r="CA23" s="213"/>
      <c r="CB23" s="215">
        <f t="shared" si="9"/>
        <v>0</v>
      </c>
      <c r="CC23" s="212" t="s">
        <v>209</v>
      </c>
      <c r="CD23" s="215">
        <f t="shared" si="44"/>
        <v>0</v>
      </c>
      <c r="CE23" s="215">
        <f t="shared" si="10"/>
        <v>0</v>
      </c>
      <c r="CF23" s="217">
        <f t="shared" si="38"/>
        <v>0</v>
      </c>
    </row>
    <row r="24" spans="2:84" ht="18" customHeight="1">
      <c r="C24" s="211"/>
      <c r="D24" s="212"/>
      <c r="E24" s="212"/>
      <c r="F24" s="212"/>
      <c r="G24" s="213"/>
      <c r="H24" s="214">
        <f t="shared" si="11"/>
        <v>0.104</v>
      </c>
      <c r="I24" s="213"/>
      <c r="J24" s="215">
        <f t="shared" si="12"/>
        <v>0</v>
      </c>
      <c r="K24" s="212" t="s">
        <v>209</v>
      </c>
      <c r="L24" s="215">
        <f t="shared" si="39"/>
        <v>0</v>
      </c>
      <c r="M24" s="215">
        <f t="shared" si="0"/>
        <v>0</v>
      </c>
      <c r="N24" s="217">
        <f t="shared" si="13"/>
        <v>0</v>
      </c>
      <c r="P24" s="224"/>
      <c r="Q24" s="219" t="str">
        <f t="shared" si="14"/>
        <v/>
      </c>
      <c r="R24" s="212"/>
      <c r="S24" s="884">
        <f t="shared" si="15"/>
        <v>0</v>
      </c>
      <c r="T24" s="212"/>
      <c r="U24" s="258">
        <f t="shared" si="16"/>
        <v>0</v>
      </c>
      <c r="V24" s="214">
        <f t="shared" si="17"/>
        <v>0.104</v>
      </c>
      <c r="W24" s="213"/>
      <c r="X24" s="215">
        <f t="shared" si="1"/>
        <v>0</v>
      </c>
      <c r="Y24" s="212" t="s">
        <v>209</v>
      </c>
      <c r="Z24" s="215">
        <f t="shared" si="40"/>
        <v>0</v>
      </c>
      <c r="AA24" s="215">
        <f t="shared" si="2"/>
        <v>0</v>
      </c>
      <c r="AB24" s="217">
        <f t="shared" si="18"/>
        <v>0</v>
      </c>
      <c r="AD24" s="224"/>
      <c r="AE24" s="219" t="str">
        <f t="shared" si="19"/>
        <v/>
      </c>
      <c r="AF24" s="212"/>
      <c r="AG24" s="884">
        <f t="shared" si="20"/>
        <v>0</v>
      </c>
      <c r="AH24" s="212"/>
      <c r="AI24" s="258">
        <f t="shared" si="21"/>
        <v>0</v>
      </c>
      <c r="AJ24" s="214">
        <f t="shared" si="22"/>
        <v>0.104</v>
      </c>
      <c r="AK24" s="213"/>
      <c r="AL24" s="215">
        <f t="shared" si="3"/>
        <v>0</v>
      </c>
      <c r="AM24" s="212" t="s">
        <v>209</v>
      </c>
      <c r="AN24" s="215">
        <f t="shared" si="41"/>
        <v>0</v>
      </c>
      <c r="AO24" s="215">
        <f t="shared" si="4"/>
        <v>0</v>
      </c>
      <c r="AP24" s="217">
        <f t="shared" si="23"/>
        <v>0</v>
      </c>
      <c r="AR24" s="224"/>
      <c r="AS24" s="219" t="str">
        <f t="shared" si="24"/>
        <v/>
      </c>
      <c r="AT24" s="212"/>
      <c r="AU24" s="884">
        <f t="shared" si="25"/>
        <v>0</v>
      </c>
      <c r="AV24" s="212"/>
      <c r="AW24" s="258">
        <f t="shared" si="26"/>
        <v>0</v>
      </c>
      <c r="AX24" s="214">
        <f t="shared" si="27"/>
        <v>0.104</v>
      </c>
      <c r="AY24" s="213"/>
      <c r="AZ24" s="215">
        <f t="shared" si="5"/>
        <v>0</v>
      </c>
      <c r="BA24" s="212" t="s">
        <v>209</v>
      </c>
      <c r="BB24" s="215">
        <f t="shared" si="42"/>
        <v>0</v>
      </c>
      <c r="BC24" s="215">
        <f t="shared" si="6"/>
        <v>0</v>
      </c>
      <c r="BD24" s="217">
        <f t="shared" si="28"/>
        <v>0</v>
      </c>
      <c r="BF24" s="224"/>
      <c r="BG24" s="219" t="str">
        <f t="shared" si="29"/>
        <v/>
      </c>
      <c r="BH24" s="212"/>
      <c r="BI24" s="884">
        <f t="shared" si="30"/>
        <v>0</v>
      </c>
      <c r="BJ24" s="212"/>
      <c r="BK24" s="258">
        <f t="shared" si="31"/>
        <v>0</v>
      </c>
      <c r="BL24" s="214">
        <f t="shared" si="32"/>
        <v>0.104</v>
      </c>
      <c r="BM24" s="213"/>
      <c r="BN24" s="215">
        <f t="shared" si="7"/>
        <v>0</v>
      </c>
      <c r="BO24" s="212" t="s">
        <v>209</v>
      </c>
      <c r="BP24" s="215">
        <f t="shared" si="43"/>
        <v>0</v>
      </c>
      <c r="BQ24" s="215">
        <f t="shared" si="8"/>
        <v>0</v>
      </c>
      <c r="BR24" s="217">
        <f t="shared" si="33"/>
        <v>0</v>
      </c>
      <c r="BT24" s="224"/>
      <c r="BU24" s="219" t="str">
        <f t="shared" si="34"/>
        <v/>
      </c>
      <c r="BV24" s="212"/>
      <c r="BW24" s="884">
        <f t="shared" si="35"/>
        <v>0</v>
      </c>
      <c r="BX24" s="212"/>
      <c r="BY24" s="258">
        <f t="shared" si="36"/>
        <v>0</v>
      </c>
      <c r="BZ24" s="214">
        <f t="shared" si="37"/>
        <v>0.104</v>
      </c>
      <c r="CA24" s="213"/>
      <c r="CB24" s="215">
        <f t="shared" si="9"/>
        <v>0</v>
      </c>
      <c r="CC24" s="212" t="s">
        <v>209</v>
      </c>
      <c r="CD24" s="215">
        <f t="shared" si="44"/>
        <v>0</v>
      </c>
      <c r="CE24" s="215">
        <f t="shared" si="10"/>
        <v>0</v>
      </c>
      <c r="CF24" s="217">
        <f t="shared" si="38"/>
        <v>0</v>
      </c>
    </row>
    <row r="25" spans="2:84" ht="18" customHeight="1">
      <c r="B25" s="224"/>
      <c r="C25" s="211"/>
      <c r="D25" s="212"/>
      <c r="E25" s="212"/>
      <c r="F25" s="212"/>
      <c r="G25" s="213"/>
      <c r="H25" s="214">
        <f t="shared" si="11"/>
        <v>0.104</v>
      </c>
      <c r="I25" s="213"/>
      <c r="J25" s="215">
        <f t="shared" si="12"/>
        <v>0</v>
      </c>
      <c r="K25" s="212" t="s">
        <v>209</v>
      </c>
      <c r="L25" s="215">
        <f t="shared" si="39"/>
        <v>0</v>
      </c>
      <c r="M25" s="215">
        <f t="shared" si="0"/>
        <v>0</v>
      </c>
      <c r="N25" s="217">
        <f t="shared" si="13"/>
        <v>0</v>
      </c>
      <c r="P25" s="224"/>
      <c r="Q25" s="219" t="str">
        <f t="shared" si="14"/>
        <v/>
      </c>
      <c r="R25" s="212"/>
      <c r="S25" s="884">
        <f t="shared" si="15"/>
        <v>0</v>
      </c>
      <c r="T25" s="212"/>
      <c r="U25" s="258">
        <f t="shared" si="16"/>
        <v>0</v>
      </c>
      <c r="V25" s="214">
        <f t="shared" si="17"/>
        <v>0.104</v>
      </c>
      <c r="W25" s="213"/>
      <c r="X25" s="215">
        <f t="shared" si="1"/>
        <v>0</v>
      </c>
      <c r="Y25" s="212" t="s">
        <v>209</v>
      </c>
      <c r="Z25" s="215">
        <f t="shared" si="40"/>
        <v>0</v>
      </c>
      <c r="AA25" s="215">
        <f t="shared" si="2"/>
        <v>0</v>
      </c>
      <c r="AB25" s="217">
        <f t="shared" si="18"/>
        <v>0</v>
      </c>
      <c r="AD25" s="224"/>
      <c r="AE25" s="219" t="str">
        <f t="shared" si="19"/>
        <v/>
      </c>
      <c r="AF25" s="212"/>
      <c r="AG25" s="884">
        <f t="shared" si="20"/>
        <v>0</v>
      </c>
      <c r="AH25" s="212"/>
      <c r="AI25" s="258">
        <f t="shared" si="21"/>
        <v>0</v>
      </c>
      <c r="AJ25" s="214">
        <f t="shared" si="22"/>
        <v>0.104</v>
      </c>
      <c r="AK25" s="213"/>
      <c r="AL25" s="215">
        <f t="shared" si="3"/>
        <v>0</v>
      </c>
      <c r="AM25" s="212" t="s">
        <v>209</v>
      </c>
      <c r="AN25" s="215">
        <f t="shared" si="41"/>
        <v>0</v>
      </c>
      <c r="AO25" s="215">
        <f t="shared" si="4"/>
        <v>0</v>
      </c>
      <c r="AP25" s="217">
        <f t="shared" si="23"/>
        <v>0</v>
      </c>
      <c r="AR25" s="224"/>
      <c r="AS25" s="219" t="str">
        <f t="shared" si="24"/>
        <v/>
      </c>
      <c r="AT25" s="212"/>
      <c r="AU25" s="884">
        <f t="shared" si="25"/>
        <v>0</v>
      </c>
      <c r="AV25" s="212"/>
      <c r="AW25" s="258">
        <f t="shared" si="26"/>
        <v>0</v>
      </c>
      <c r="AX25" s="214">
        <f t="shared" si="27"/>
        <v>0.104</v>
      </c>
      <c r="AY25" s="213"/>
      <c r="AZ25" s="215">
        <f t="shared" si="5"/>
        <v>0</v>
      </c>
      <c r="BA25" s="212" t="s">
        <v>209</v>
      </c>
      <c r="BB25" s="215">
        <f t="shared" si="42"/>
        <v>0</v>
      </c>
      <c r="BC25" s="215">
        <f t="shared" si="6"/>
        <v>0</v>
      </c>
      <c r="BD25" s="217">
        <f t="shared" si="28"/>
        <v>0</v>
      </c>
      <c r="BF25" s="224"/>
      <c r="BG25" s="219" t="str">
        <f t="shared" si="29"/>
        <v/>
      </c>
      <c r="BH25" s="212"/>
      <c r="BI25" s="884">
        <f t="shared" si="30"/>
        <v>0</v>
      </c>
      <c r="BJ25" s="212"/>
      <c r="BK25" s="258">
        <f t="shared" si="31"/>
        <v>0</v>
      </c>
      <c r="BL25" s="214">
        <f t="shared" si="32"/>
        <v>0.104</v>
      </c>
      <c r="BM25" s="213"/>
      <c r="BN25" s="215">
        <f t="shared" si="7"/>
        <v>0</v>
      </c>
      <c r="BO25" s="212" t="s">
        <v>209</v>
      </c>
      <c r="BP25" s="215">
        <f t="shared" si="43"/>
        <v>0</v>
      </c>
      <c r="BQ25" s="215">
        <f t="shared" si="8"/>
        <v>0</v>
      </c>
      <c r="BR25" s="217">
        <f t="shared" si="33"/>
        <v>0</v>
      </c>
      <c r="BT25" s="224"/>
      <c r="BU25" s="219" t="str">
        <f t="shared" si="34"/>
        <v/>
      </c>
      <c r="BV25" s="212"/>
      <c r="BW25" s="884">
        <f t="shared" si="35"/>
        <v>0</v>
      </c>
      <c r="BX25" s="212"/>
      <c r="BY25" s="258">
        <f t="shared" si="36"/>
        <v>0</v>
      </c>
      <c r="BZ25" s="214">
        <f t="shared" si="37"/>
        <v>0.104</v>
      </c>
      <c r="CA25" s="213"/>
      <c r="CB25" s="215">
        <f t="shared" si="9"/>
        <v>0</v>
      </c>
      <c r="CC25" s="212" t="s">
        <v>209</v>
      </c>
      <c r="CD25" s="215">
        <f t="shared" si="44"/>
        <v>0</v>
      </c>
      <c r="CE25" s="215">
        <f t="shared" si="10"/>
        <v>0</v>
      </c>
      <c r="CF25" s="217">
        <f t="shared" si="38"/>
        <v>0</v>
      </c>
    </row>
    <row r="26" spans="2:84" ht="18" customHeight="1">
      <c r="B26" s="224"/>
      <c r="C26" s="211"/>
      <c r="D26" s="212"/>
      <c r="E26" s="212"/>
      <c r="F26" s="212"/>
      <c r="G26" s="213"/>
      <c r="H26" s="214">
        <f t="shared" si="11"/>
        <v>0.104</v>
      </c>
      <c r="I26" s="213"/>
      <c r="J26" s="215">
        <f t="shared" si="12"/>
        <v>0</v>
      </c>
      <c r="K26" s="212" t="s">
        <v>209</v>
      </c>
      <c r="L26" s="215">
        <f t="shared" si="39"/>
        <v>0</v>
      </c>
      <c r="M26" s="215">
        <f t="shared" si="0"/>
        <v>0</v>
      </c>
      <c r="N26" s="217">
        <f t="shared" si="13"/>
        <v>0</v>
      </c>
      <c r="P26" s="224"/>
      <c r="Q26" s="219" t="str">
        <f t="shared" si="14"/>
        <v/>
      </c>
      <c r="R26" s="212"/>
      <c r="S26" s="884">
        <f t="shared" si="15"/>
        <v>0</v>
      </c>
      <c r="T26" s="212"/>
      <c r="U26" s="258">
        <f t="shared" si="16"/>
        <v>0</v>
      </c>
      <c r="V26" s="214">
        <f t="shared" si="17"/>
        <v>0.104</v>
      </c>
      <c r="W26" s="213"/>
      <c r="X26" s="215">
        <f t="shared" si="1"/>
        <v>0</v>
      </c>
      <c r="Y26" s="212" t="s">
        <v>209</v>
      </c>
      <c r="Z26" s="215">
        <f t="shared" si="40"/>
        <v>0</v>
      </c>
      <c r="AA26" s="215">
        <f t="shared" si="2"/>
        <v>0</v>
      </c>
      <c r="AB26" s="217">
        <f t="shared" si="18"/>
        <v>0</v>
      </c>
      <c r="AD26" s="224"/>
      <c r="AE26" s="219" t="str">
        <f t="shared" si="19"/>
        <v/>
      </c>
      <c r="AF26" s="212"/>
      <c r="AG26" s="884">
        <f t="shared" si="20"/>
        <v>0</v>
      </c>
      <c r="AH26" s="212"/>
      <c r="AI26" s="258">
        <f t="shared" si="21"/>
        <v>0</v>
      </c>
      <c r="AJ26" s="214">
        <f t="shared" si="22"/>
        <v>0.104</v>
      </c>
      <c r="AK26" s="213"/>
      <c r="AL26" s="215">
        <f t="shared" si="3"/>
        <v>0</v>
      </c>
      <c r="AM26" s="212" t="s">
        <v>209</v>
      </c>
      <c r="AN26" s="215">
        <f t="shared" si="41"/>
        <v>0</v>
      </c>
      <c r="AO26" s="215">
        <f t="shared" si="4"/>
        <v>0</v>
      </c>
      <c r="AP26" s="217">
        <f t="shared" si="23"/>
        <v>0</v>
      </c>
      <c r="AR26" s="224"/>
      <c r="AS26" s="219" t="str">
        <f t="shared" si="24"/>
        <v/>
      </c>
      <c r="AT26" s="212"/>
      <c r="AU26" s="884">
        <f t="shared" si="25"/>
        <v>0</v>
      </c>
      <c r="AV26" s="212"/>
      <c r="AW26" s="258">
        <f t="shared" si="26"/>
        <v>0</v>
      </c>
      <c r="AX26" s="214">
        <f t="shared" si="27"/>
        <v>0.104</v>
      </c>
      <c r="AY26" s="213"/>
      <c r="AZ26" s="215">
        <f t="shared" si="5"/>
        <v>0</v>
      </c>
      <c r="BA26" s="212" t="s">
        <v>209</v>
      </c>
      <c r="BB26" s="215">
        <f t="shared" si="42"/>
        <v>0</v>
      </c>
      <c r="BC26" s="215">
        <f t="shared" si="6"/>
        <v>0</v>
      </c>
      <c r="BD26" s="217">
        <f t="shared" si="28"/>
        <v>0</v>
      </c>
      <c r="BF26" s="224"/>
      <c r="BG26" s="219" t="str">
        <f t="shared" si="29"/>
        <v/>
      </c>
      <c r="BH26" s="212"/>
      <c r="BI26" s="884">
        <f t="shared" si="30"/>
        <v>0</v>
      </c>
      <c r="BJ26" s="212"/>
      <c r="BK26" s="258">
        <f t="shared" si="31"/>
        <v>0</v>
      </c>
      <c r="BL26" s="214">
        <f t="shared" si="32"/>
        <v>0.104</v>
      </c>
      <c r="BM26" s="213"/>
      <c r="BN26" s="215">
        <f t="shared" si="7"/>
        <v>0</v>
      </c>
      <c r="BO26" s="212" t="s">
        <v>209</v>
      </c>
      <c r="BP26" s="215">
        <f t="shared" si="43"/>
        <v>0</v>
      </c>
      <c r="BQ26" s="215">
        <f t="shared" si="8"/>
        <v>0</v>
      </c>
      <c r="BR26" s="217">
        <f t="shared" si="33"/>
        <v>0</v>
      </c>
      <c r="BT26" s="224"/>
      <c r="BU26" s="219" t="str">
        <f t="shared" si="34"/>
        <v/>
      </c>
      <c r="BV26" s="212"/>
      <c r="BW26" s="884">
        <f t="shared" si="35"/>
        <v>0</v>
      </c>
      <c r="BX26" s="212"/>
      <c r="BY26" s="258">
        <f t="shared" si="36"/>
        <v>0</v>
      </c>
      <c r="BZ26" s="214">
        <f t="shared" si="37"/>
        <v>0.104</v>
      </c>
      <c r="CA26" s="213"/>
      <c r="CB26" s="215">
        <f t="shared" si="9"/>
        <v>0</v>
      </c>
      <c r="CC26" s="212" t="s">
        <v>209</v>
      </c>
      <c r="CD26" s="215">
        <f t="shared" si="44"/>
        <v>0</v>
      </c>
      <c r="CE26" s="215">
        <f t="shared" si="10"/>
        <v>0</v>
      </c>
      <c r="CF26" s="217">
        <f t="shared" si="38"/>
        <v>0</v>
      </c>
    </row>
    <row r="27" spans="2:84" ht="18" customHeight="1">
      <c r="B27" s="224"/>
      <c r="C27" s="211"/>
      <c r="D27" s="212"/>
      <c r="E27" s="212"/>
      <c r="F27" s="212"/>
      <c r="G27" s="213"/>
      <c r="H27" s="214">
        <f t="shared" si="11"/>
        <v>0.104</v>
      </c>
      <c r="I27" s="213"/>
      <c r="J27" s="215">
        <f t="shared" si="12"/>
        <v>0</v>
      </c>
      <c r="K27" s="212" t="s">
        <v>209</v>
      </c>
      <c r="L27" s="215">
        <f t="shared" si="39"/>
        <v>0</v>
      </c>
      <c r="M27" s="215">
        <f t="shared" si="0"/>
        <v>0</v>
      </c>
      <c r="N27" s="217">
        <f t="shared" si="13"/>
        <v>0</v>
      </c>
      <c r="P27" s="224"/>
      <c r="Q27" s="219" t="str">
        <f t="shared" si="14"/>
        <v/>
      </c>
      <c r="R27" s="212"/>
      <c r="S27" s="884">
        <f t="shared" si="15"/>
        <v>0</v>
      </c>
      <c r="T27" s="212"/>
      <c r="U27" s="258">
        <f t="shared" si="16"/>
        <v>0</v>
      </c>
      <c r="V27" s="214">
        <f t="shared" si="17"/>
        <v>0.104</v>
      </c>
      <c r="W27" s="213"/>
      <c r="X27" s="215">
        <f t="shared" si="1"/>
        <v>0</v>
      </c>
      <c r="Y27" s="212" t="s">
        <v>209</v>
      </c>
      <c r="Z27" s="215">
        <f t="shared" si="40"/>
        <v>0</v>
      </c>
      <c r="AA27" s="215">
        <f t="shared" si="2"/>
        <v>0</v>
      </c>
      <c r="AB27" s="217">
        <f t="shared" si="18"/>
        <v>0</v>
      </c>
      <c r="AD27" s="224"/>
      <c r="AE27" s="219" t="str">
        <f t="shared" si="19"/>
        <v/>
      </c>
      <c r="AF27" s="212"/>
      <c r="AG27" s="884">
        <f t="shared" si="20"/>
        <v>0</v>
      </c>
      <c r="AH27" s="212"/>
      <c r="AI27" s="258">
        <f t="shared" si="21"/>
        <v>0</v>
      </c>
      <c r="AJ27" s="214">
        <f t="shared" si="22"/>
        <v>0.104</v>
      </c>
      <c r="AK27" s="213"/>
      <c r="AL27" s="215">
        <f t="shared" si="3"/>
        <v>0</v>
      </c>
      <c r="AM27" s="212" t="s">
        <v>209</v>
      </c>
      <c r="AN27" s="215">
        <f t="shared" si="41"/>
        <v>0</v>
      </c>
      <c r="AO27" s="215">
        <f t="shared" si="4"/>
        <v>0</v>
      </c>
      <c r="AP27" s="217">
        <f t="shared" si="23"/>
        <v>0</v>
      </c>
      <c r="AR27" s="224"/>
      <c r="AS27" s="219" t="str">
        <f t="shared" si="24"/>
        <v/>
      </c>
      <c r="AT27" s="212"/>
      <c r="AU27" s="884">
        <f t="shared" si="25"/>
        <v>0</v>
      </c>
      <c r="AV27" s="212"/>
      <c r="AW27" s="258">
        <f t="shared" si="26"/>
        <v>0</v>
      </c>
      <c r="AX27" s="214">
        <f t="shared" si="27"/>
        <v>0.104</v>
      </c>
      <c r="AY27" s="213"/>
      <c r="AZ27" s="215">
        <f t="shared" si="5"/>
        <v>0</v>
      </c>
      <c r="BA27" s="212" t="s">
        <v>209</v>
      </c>
      <c r="BB27" s="215">
        <f t="shared" si="42"/>
        <v>0</v>
      </c>
      <c r="BC27" s="215">
        <f t="shared" si="6"/>
        <v>0</v>
      </c>
      <c r="BD27" s="217">
        <f t="shared" si="28"/>
        <v>0</v>
      </c>
      <c r="BF27" s="224"/>
      <c r="BG27" s="219" t="str">
        <f t="shared" si="29"/>
        <v/>
      </c>
      <c r="BH27" s="212"/>
      <c r="BI27" s="884">
        <f t="shared" si="30"/>
        <v>0</v>
      </c>
      <c r="BJ27" s="212"/>
      <c r="BK27" s="258">
        <f t="shared" si="31"/>
        <v>0</v>
      </c>
      <c r="BL27" s="214">
        <f t="shared" si="32"/>
        <v>0.104</v>
      </c>
      <c r="BM27" s="213"/>
      <c r="BN27" s="215">
        <f t="shared" si="7"/>
        <v>0</v>
      </c>
      <c r="BO27" s="212" t="s">
        <v>209</v>
      </c>
      <c r="BP27" s="215">
        <f t="shared" si="43"/>
        <v>0</v>
      </c>
      <c r="BQ27" s="215">
        <f t="shared" si="8"/>
        <v>0</v>
      </c>
      <c r="BR27" s="217">
        <f t="shared" si="33"/>
        <v>0</v>
      </c>
      <c r="BT27" s="224"/>
      <c r="BU27" s="219" t="str">
        <f t="shared" si="34"/>
        <v/>
      </c>
      <c r="BV27" s="212"/>
      <c r="BW27" s="884">
        <f t="shared" si="35"/>
        <v>0</v>
      </c>
      <c r="BX27" s="212"/>
      <c r="BY27" s="258">
        <f t="shared" si="36"/>
        <v>0</v>
      </c>
      <c r="BZ27" s="214">
        <f t="shared" si="37"/>
        <v>0.104</v>
      </c>
      <c r="CA27" s="213"/>
      <c r="CB27" s="215">
        <f t="shared" si="9"/>
        <v>0</v>
      </c>
      <c r="CC27" s="212" t="s">
        <v>209</v>
      </c>
      <c r="CD27" s="215">
        <f t="shared" si="44"/>
        <v>0</v>
      </c>
      <c r="CE27" s="215">
        <f t="shared" si="10"/>
        <v>0</v>
      </c>
      <c r="CF27" s="217">
        <f t="shared" si="38"/>
        <v>0</v>
      </c>
    </row>
    <row r="28" spans="2:84" ht="18" customHeight="1">
      <c r="B28" s="224"/>
      <c r="C28" s="211"/>
      <c r="D28" s="212"/>
      <c r="E28" s="212"/>
      <c r="F28" s="212"/>
      <c r="G28" s="213"/>
      <c r="H28" s="214">
        <f t="shared" si="11"/>
        <v>0.104</v>
      </c>
      <c r="I28" s="213"/>
      <c r="J28" s="215">
        <f t="shared" si="12"/>
        <v>0</v>
      </c>
      <c r="K28" s="212" t="s">
        <v>209</v>
      </c>
      <c r="L28" s="215">
        <f t="shared" si="39"/>
        <v>0</v>
      </c>
      <c r="M28" s="215">
        <f t="shared" si="0"/>
        <v>0</v>
      </c>
      <c r="N28" s="217">
        <f t="shared" si="13"/>
        <v>0</v>
      </c>
      <c r="P28" s="224"/>
      <c r="Q28" s="219" t="str">
        <f t="shared" si="14"/>
        <v/>
      </c>
      <c r="R28" s="212"/>
      <c r="S28" s="884">
        <f t="shared" si="15"/>
        <v>0</v>
      </c>
      <c r="T28" s="212"/>
      <c r="U28" s="258">
        <f t="shared" si="16"/>
        <v>0</v>
      </c>
      <c r="V28" s="214">
        <f t="shared" si="17"/>
        <v>0.104</v>
      </c>
      <c r="W28" s="213"/>
      <c r="X28" s="215">
        <f t="shared" si="1"/>
        <v>0</v>
      </c>
      <c r="Y28" s="212" t="s">
        <v>209</v>
      </c>
      <c r="Z28" s="215">
        <f t="shared" si="40"/>
        <v>0</v>
      </c>
      <c r="AA28" s="215">
        <f t="shared" si="2"/>
        <v>0</v>
      </c>
      <c r="AB28" s="217">
        <f t="shared" si="18"/>
        <v>0</v>
      </c>
      <c r="AD28" s="224"/>
      <c r="AE28" s="219" t="str">
        <f t="shared" si="19"/>
        <v/>
      </c>
      <c r="AF28" s="212"/>
      <c r="AG28" s="884">
        <f t="shared" si="20"/>
        <v>0</v>
      </c>
      <c r="AH28" s="212"/>
      <c r="AI28" s="258">
        <f t="shared" si="21"/>
        <v>0</v>
      </c>
      <c r="AJ28" s="214">
        <f t="shared" si="22"/>
        <v>0.104</v>
      </c>
      <c r="AK28" s="213"/>
      <c r="AL28" s="215">
        <f t="shared" si="3"/>
        <v>0</v>
      </c>
      <c r="AM28" s="212" t="s">
        <v>209</v>
      </c>
      <c r="AN28" s="215">
        <f t="shared" si="41"/>
        <v>0</v>
      </c>
      <c r="AO28" s="215">
        <f t="shared" si="4"/>
        <v>0</v>
      </c>
      <c r="AP28" s="217">
        <f t="shared" si="23"/>
        <v>0</v>
      </c>
      <c r="AR28" s="224"/>
      <c r="AS28" s="219" t="str">
        <f t="shared" si="24"/>
        <v/>
      </c>
      <c r="AT28" s="212"/>
      <c r="AU28" s="884">
        <f t="shared" si="25"/>
        <v>0</v>
      </c>
      <c r="AV28" s="212"/>
      <c r="AW28" s="258">
        <f t="shared" si="26"/>
        <v>0</v>
      </c>
      <c r="AX28" s="214">
        <f t="shared" si="27"/>
        <v>0.104</v>
      </c>
      <c r="AY28" s="213"/>
      <c r="AZ28" s="215">
        <f t="shared" si="5"/>
        <v>0</v>
      </c>
      <c r="BA28" s="212" t="s">
        <v>209</v>
      </c>
      <c r="BB28" s="215">
        <f t="shared" si="42"/>
        <v>0</v>
      </c>
      <c r="BC28" s="215">
        <f t="shared" si="6"/>
        <v>0</v>
      </c>
      <c r="BD28" s="217">
        <f t="shared" si="28"/>
        <v>0</v>
      </c>
      <c r="BF28" s="224"/>
      <c r="BG28" s="219" t="str">
        <f t="shared" si="29"/>
        <v/>
      </c>
      <c r="BH28" s="212"/>
      <c r="BI28" s="884">
        <f t="shared" si="30"/>
        <v>0</v>
      </c>
      <c r="BJ28" s="212"/>
      <c r="BK28" s="258">
        <f t="shared" si="31"/>
        <v>0</v>
      </c>
      <c r="BL28" s="214">
        <f t="shared" si="32"/>
        <v>0.104</v>
      </c>
      <c r="BM28" s="213"/>
      <c r="BN28" s="215">
        <f t="shared" si="7"/>
        <v>0</v>
      </c>
      <c r="BO28" s="212" t="s">
        <v>209</v>
      </c>
      <c r="BP28" s="215">
        <f t="shared" si="43"/>
        <v>0</v>
      </c>
      <c r="BQ28" s="215">
        <f t="shared" si="8"/>
        <v>0</v>
      </c>
      <c r="BR28" s="217">
        <f t="shared" si="33"/>
        <v>0</v>
      </c>
      <c r="BT28" s="224"/>
      <c r="BU28" s="219" t="str">
        <f t="shared" si="34"/>
        <v/>
      </c>
      <c r="BV28" s="212"/>
      <c r="BW28" s="884">
        <f t="shared" si="35"/>
        <v>0</v>
      </c>
      <c r="BX28" s="212"/>
      <c r="BY28" s="258">
        <f t="shared" si="36"/>
        <v>0</v>
      </c>
      <c r="BZ28" s="214">
        <f t="shared" si="37"/>
        <v>0.104</v>
      </c>
      <c r="CA28" s="213"/>
      <c r="CB28" s="215">
        <f t="shared" si="9"/>
        <v>0</v>
      </c>
      <c r="CC28" s="212" t="s">
        <v>209</v>
      </c>
      <c r="CD28" s="215">
        <f t="shared" si="44"/>
        <v>0</v>
      </c>
      <c r="CE28" s="215">
        <f t="shared" si="10"/>
        <v>0</v>
      </c>
      <c r="CF28" s="217">
        <f t="shared" si="38"/>
        <v>0</v>
      </c>
    </row>
    <row r="29" spans="2:84" ht="18" customHeight="1">
      <c r="B29" s="224"/>
      <c r="C29" s="211"/>
      <c r="D29" s="212"/>
      <c r="E29" s="212"/>
      <c r="F29" s="212"/>
      <c r="G29" s="213"/>
      <c r="H29" s="214">
        <f t="shared" si="11"/>
        <v>0.104</v>
      </c>
      <c r="I29" s="213"/>
      <c r="J29" s="215">
        <f t="shared" si="12"/>
        <v>0</v>
      </c>
      <c r="K29" s="212" t="s">
        <v>209</v>
      </c>
      <c r="L29" s="215">
        <f t="shared" si="39"/>
        <v>0</v>
      </c>
      <c r="M29" s="215">
        <f t="shared" si="0"/>
        <v>0</v>
      </c>
      <c r="N29" s="217">
        <f t="shared" si="13"/>
        <v>0</v>
      </c>
      <c r="P29" s="224"/>
      <c r="Q29" s="219" t="str">
        <f t="shared" si="14"/>
        <v/>
      </c>
      <c r="R29" s="212"/>
      <c r="S29" s="884">
        <f t="shared" si="15"/>
        <v>0</v>
      </c>
      <c r="T29" s="212"/>
      <c r="U29" s="258">
        <f t="shared" si="16"/>
        <v>0</v>
      </c>
      <c r="V29" s="214">
        <f t="shared" si="17"/>
        <v>0.104</v>
      </c>
      <c r="W29" s="213"/>
      <c r="X29" s="215">
        <f t="shared" si="1"/>
        <v>0</v>
      </c>
      <c r="Y29" s="212" t="s">
        <v>209</v>
      </c>
      <c r="Z29" s="215">
        <f t="shared" si="40"/>
        <v>0</v>
      </c>
      <c r="AA29" s="215">
        <f t="shared" si="2"/>
        <v>0</v>
      </c>
      <c r="AB29" s="217">
        <f t="shared" si="18"/>
        <v>0</v>
      </c>
      <c r="AD29" s="224"/>
      <c r="AE29" s="219" t="str">
        <f t="shared" si="19"/>
        <v/>
      </c>
      <c r="AF29" s="212"/>
      <c r="AG29" s="884">
        <f t="shared" si="20"/>
        <v>0</v>
      </c>
      <c r="AH29" s="212"/>
      <c r="AI29" s="258">
        <f t="shared" si="21"/>
        <v>0</v>
      </c>
      <c r="AJ29" s="214">
        <f t="shared" si="22"/>
        <v>0.104</v>
      </c>
      <c r="AK29" s="213"/>
      <c r="AL29" s="215">
        <f t="shared" si="3"/>
        <v>0</v>
      </c>
      <c r="AM29" s="212" t="s">
        <v>209</v>
      </c>
      <c r="AN29" s="215">
        <f t="shared" si="41"/>
        <v>0</v>
      </c>
      <c r="AO29" s="215">
        <f t="shared" si="4"/>
        <v>0</v>
      </c>
      <c r="AP29" s="217">
        <f t="shared" si="23"/>
        <v>0</v>
      </c>
      <c r="AR29" s="224"/>
      <c r="AS29" s="219" t="str">
        <f t="shared" si="24"/>
        <v/>
      </c>
      <c r="AT29" s="212"/>
      <c r="AU29" s="884">
        <f t="shared" si="25"/>
        <v>0</v>
      </c>
      <c r="AV29" s="212"/>
      <c r="AW29" s="258">
        <f t="shared" si="26"/>
        <v>0</v>
      </c>
      <c r="AX29" s="214">
        <f t="shared" si="27"/>
        <v>0.104</v>
      </c>
      <c r="AY29" s="213"/>
      <c r="AZ29" s="215">
        <f t="shared" si="5"/>
        <v>0</v>
      </c>
      <c r="BA29" s="212" t="s">
        <v>209</v>
      </c>
      <c r="BB29" s="215">
        <f t="shared" si="42"/>
        <v>0</v>
      </c>
      <c r="BC29" s="215">
        <f t="shared" si="6"/>
        <v>0</v>
      </c>
      <c r="BD29" s="217">
        <f t="shared" si="28"/>
        <v>0</v>
      </c>
      <c r="BF29" s="224"/>
      <c r="BG29" s="219" t="str">
        <f t="shared" si="29"/>
        <v/>
      </c>
      <c r="BH29" s="212"/>
      <c r="BI29" s="884">
        <f t="shared" si="30"/>
        <v>0</v>
      </c>
      <c r="BJ29" s="212"/>
      <c r="BK29" s="258">
        <f t="shared" si="31"/>
        <v>0</v>
      </c>
      <c r="BL29" s="214">
        <f t="shared" si="32"/>
        <v>0.104</v>
      </c>
      <c r="BM29" s="213"/>
      <c r="BN29" s="215">
        <f t="shared" si="7"/>
        <v>0</v>
      </c>
      <c r="BO29" s="212" t="s">
        <v>209</v>
      </c>
      <c r="BP29" s="215">
        <f t="shared" si="43"/>
        <v>0</v>
      </c>
      <c r="BQ29" s="215">
        <f t="shared" si="8"/>
        <v>0</v>
      </c>
      <c r="BR29" s="217">
        <f t="shared" si="33"/>
        <v>0</v>
      </c>
      <c r="BT29" s="224"/>
      <c r="BU29" s="219" t="str">
        <f t="shared" si="34"/>
        <v/>
      </c>
      <c r="BV29" s="212"/>
      <c r="BW29" s="884">
        <f t="shared" si="35"/>
        <v>0</v>
      </c>
      <c r="BX29" s="212"/>
      <c r="BY29" s="258">
        <f t="shared" si="36"/>
        <v>0</v>
      </c>
      <c r="BZ29" s="214">
        <f t="shared" si="37"/>
        <v>0.104</v>
      </c>
      <c r="CA29" s="213"/>
      <c r="CB29" s="215">
        <f t="shared" si="9"/>
        <v>0</v>
      </c>
      <c r="CC29" s="212" t="s">
        <v>209</v>
      </c>
      <c r="CD29" s="215">
        <f t="shared" si="44"/>
        <v>0</v>
      </c>
      <c r="CE29" s="215">
        <f t="shared" si="10"/>
        <v>0</v>
      </c>
      <c r="CF29" s="217">
        <f t="shared" si="38"/>
        <v>0</v>
      </c>
    </row>
    <row r="30" spans="2:84" ht="18" customHeight="1">
      <c r="B30" s="224"/>
      <c r="C30" s="211"/>
      <c r="D30" s="212"/>
      <c r="E30" s="212"/>
      <c r="F30" s="212"/>
      <c r="G30" s="213"/>
      <c r="H30" s="214">
        <f t="shared" si="11"/>
        <v>0.104</v>
      </c>
      <c r="I30" s="213"/>
      <c r="J30" s="215">
        <f t="shared" si="12"/>
        <v>0</v>
      </c>
      <c r="K30" s="212" t="s">
        <v>209</v>
      </c>
      <c r="L30" s="215">
        <f t="shared" si="39"/>
        <v>0</v>
      </c>
      <c r="M30" s="215">
        <f t="shared" si="0"/>
        <v>0</v>
      </c>
      <c r="N30" s="217">
        <f t="shared" si="13"/>
        <v>0</v>
      </c>
      <c r="P30" s="224"/>
      <c r="Q30" s="219" t="str">
        <f t="shared" si="14"/>
        <v/>
      </c>
      <c r="R30" s="212"/>
      <c r="S30" s="884">
        <f t="shared" si="15"/>
        <v>0</v>
      </c>
      <c r="T30" s="212"/>
      <c r="U30" s="258">
        <f t="shared" si="16"/>
        <v>0</v>
      </c>
      <c r="V30" s="214">
        <f t="shared" si="17"/>
        <v>0.104</v>
      </c>
      <c r="W30" s="213"/>
      <c r="X30" s="215">
        <f t="shared" si="1"/>
        <v>0</v>
      </c>
      <c r="Y30" s="212" t="s">
        <v>209</v>
      </c>
      <c r="Z30" s="215">
        <f t="shared" si="40"/>
        <v>0</v>
      </c>
      <c r="AA30" s="215">
        <f t="shared" si="2"/>
        <v>0</v>
      </c>
      <c r="AB30" s="217">
        <f t="shared" si="18"/>
        <v>0</v>
      </c>
      <c r="AD30" s="224"/>
      <c r="AE30" s="219" t="str">
        <f t="shared" si="19"/>
        <v/>
      </c>
      <c r="AF30" s="212"/>
      <c r="AG30" s="884">
        <f t="shared" si="20"/>
        <v>0</v>
      </c>
      <c r="AH30" s="212"/>
      <c r="AI30" s="258">
        <f t="shared" si="21"/>
        <v>0</v>
      </c>
      <c r="AJ30" s="214">
        <f t="shared" si="22"/>
        <v>0.104</v>
      </c>
      <c r="AK30" s="213"/>
      <c r="AL30" s="215">
        <f t="shared" si="3"/>
        <v>0</v>
      </c>
      <c r="AM30" s="212" t="s">
        <v>209</v>
      </c>
      <c r="AN30" s="215">
        <f t="shared" si="41"/>
        <v>0</v>
      </c>
      <c r="AO30" s="215">
        <f t="shared" si="4"/>
        <v>0</v>
      </c>
      <c r="AP30" s="217">
        <f t="shared" si="23"/>
        <v>0</v>
      </c>
      <c r="AR30" s="224"/>
      <c r="AS30" s="219" t="str">
        <f t="shared" si="24"/>
        <v/>
      </c>
      <c r="AT30" s="212"/>
      <c r="AU30" s="884">
        <f t="shared" si="25"/>
        <v>0</v>
      </c>
      <c r="AV30" s="212"/>
      <c r="AW30" s="258">
        <f t="shared" si="26"/>
        <v>0</v>
      </c>
      <c r="AX30" s="214">
        <f t="shared" si="27"/>
        <v>0.104</v>
      </c>
      <c r="AY30" s="213"/>
      <c r="AZ30" s="215">
        <f t="shared" si="5"/>
        <v>0</v>
      </c>
      <c r="BA30" s="212" t="s">
        <v>209</v>
      </c>
      <c r="BB30" s="215">
        <f t="shared" si="42"/>
        <v>0</v>
      </c>
      <c r="BC30" s="215">
        <f t="shared" si="6"/>
        <v>0</v>
      </c>
      <c r="BD30" s="217">
        <f t="shared" si="28"/>
        <v>0</v>
      </c>
      <c r="BF30" s="224"/>
      <c r="BG30" s="219" t="str">
        <f t="shared" si="29"/>
        <v/>
      </c>
      <c r="BH30" s="212"/>
      <c r="BI30" s="884">
        <f t="shared" si="30"/>
        <v>0</v>
      </c>
      <c r="BJ30" s="212"/>
      <c r="BK30" s="258">
        <f t="shared" si="31"/>
        <v>0</v>
      </c>
      <c r="BL30" s="214">
        <f t="shared" si="32"/>
        <v>0.104</v>
      </c>
      <c r="BM30" s="213"/>
      <c r="BN30" s="215">
        <f t="shared" si="7"/>
        <v>0</v>
      </c>
      <c r="BO30" s="212" t="s">
        <v>209</v>
      </c>
      <c r="BP30" s="215">
        <f t="shared" si="43"/>
        <v>0</v>
      </c>
      <c r="BQ30" s="215">
        <f t="shared" si="8"/>
        <v>0</v>
      </c>
      <c r="BR30" s="217">
        <f t="shared" si="33"/>
        <v>0</v>
      </c>
      <c r="BT30" s="224"/>
      <c r="BU30" s="219" t="str">
        <f t="shared" si="34"/>
        <v/>
      </c>
      <c r="BV30" s="212"/>
      <c r="BW30" s="884">
        <f t="shared" si="35"/>
        <v>0</v>
      </c>
      <c r="BX30" s="212"/>
      <c r="BY30" s="258">
        <f t="shared" si="36"/>
        <v>0</v>
      </c>
      <c r="BZ30" s="214">
        <f t="shared" si="37"/>
        <v>0.104</v>
      </c>
      <c r="CA30" s="213"/>
      <c r="CB30" s="215">
        <f t="shared" si="9"/>
        <v>0</v>
      </c>
      <c r="CC30" s="212" t="s">
        <v>209</v>
      </c>
      <c r="CD30" s="215">
        <f t="shared" si="44"/>
        <v>0</v>
      </c>
      <c r="CE30" s="215">
        <f t="shared" si="10"/>
        <v>0</v>
      </c>
      <c r="CF30" s="217">
        <f t="shared" si="38"/>
        <v>0</v>
      </c>
    </row>
    <row r="31" spans="2:84" ht="18" customHeight="1">
      <c r="B31" s="224"/>
      <c r="C31" s="211"/>
      <c r="D31" s="212"/>
      <c r="E31" s="212"/>
      <c r="F31" s="212"/>
      <c r="G31" s="213"/>
      <c r="H31" s="214">
        <f t="shared" si="11"/>
        <v>0.104</v>
      </c>
      <c r="I31" s="213"/>
      <c r="J31" s="215">
        <f t="shared" si="12"/>
        <v>0</v>
      </c>
      <c r="K31" s="212" t="s">
        <v>209</v>
      </c>
      <c r="L31" s="215">
        <f t="shared" si="39"/>
        <v>0</v>
      </c>
      <c r="M31" s="215">
        <f t="shared" si="0"/>
        <v>0</v>
      </c>
      <c r="N31" s="217">
        <f t="shared" si="13"/>
        <v>0</v>
      </c>
      <c r="P31" s="224"/>
      <c r="Q31" s="219" t="str">
        <f t="shared" si="14"/>
        <v/>
      </c>
      <c r="R31" s="212"/>
      <c r="S31" s="884">
        <f t="shared" si="15"/>
        <v>0</v>
      </c>
      <c r="T31" s="212"/>
      <c r="U31" s="258">
        <f t="shared" si="16"/>
        <v>0</v>
      </c>
      <c r="V31" s="214">
        <f t="shared" si="17"/>
        <v>0.104</v>
      </c>
      <c r="W31" s="213"/>
      <c r="X31" s="215">
        <f t="shared" si="1"/>
        <v>0</v>
      </c>
      <c r="Y31" s="212" t="s">
        <v>209</v>
      </c>
      <c r="Z31" s="215">
        <f t="shared" si="40"/>
        <v>0</v>
      </c>
      <c r="AA31" s="215">
        <f t="shared" si="2"/>
        <v>0</v>
      </c>
      <c r="AB31" s="217">
        <f t="shared" si="18"/>
        <v>0</v>
      </c>
      <c r="AD31" s="224"/>
      <c r="AE31" s="219" t="str">
        <f t="shared" si="19"/>
        <v/>
      </c>
      <c r="AF31" s="212"/>
      <c r="AG31" s="884">
        <f t="shared" si="20"/>
        <v>0</v>
      </c>
      <c r="AH31" s="212"/>
      <c r="AI31" s="258">
        <f t="shared" si="21"/>
        <v>0</v>
      </c>
      <c r="AJ31" s="214">
        <f t="shared" si="22"/>
        <v>0.104</v>
      </c>
      <c r="AK31" s="213"/>
      <c r="AL31" s="215">
        <f t="shared" si="3"/>
        <v>0</v>
      </c>
      <c r="AM31" s="212" t="s">
        <v>209</v>
      </c>
      <c r="AN31" s="215">
        <f t="shared" si="41"/>
        <v>0</v>
      </c>
      <c r="AO31" s="215">
        <f t="shared" si="4"/>
        <v>0</v>
      </c>
      <c r="AP31" s="217">
        <f t="shared" si="23"/>
        <v>0</v>
      </c>
      <c r="AR31" s="224"/>
      <c r="AS31" s="219" t="str">
        <f t="shared" si="24"/>
        <v/>
      </c>
      <c r="AT31" s="212"/>
      <c r="AU31" s="884">
        <f t="shared" si="25"/>
        <v>0</v>
      </c>
      <c r="AV31" s="212"/>
      <c r="AW31" s="258">
        <f t="shared" si="26"/>
        <v>0</v>
      </c>
      <c r="AX31" s="214">
        <f t="shared" si="27"/>
        <v>0.104</v>
      </c>
      <c r="AY31" s="213"/>
      <c r="AZ31" s="215">
        <f t="shared" si="5"/>
        <v>0</v>
      </c>
      <c r="BA31" s="212" t="s">
        <v>209</v>
      </c>
      <c r="BB31" s="215">
        <f t="shared" si="42"/>
        <v>0</v>
      </c>
      <c r="BC31" s="215">
        <f t="shared" si="6"/>
        <v>0</v>
      </c>
      <c r="BD31" s="217">
        <f t="shared" si="28"/>
        <v>0</v>
      </c>
      <c r="BF31" s="224"/>
      <c r="BG31" s="219" t="str">
        <f t="shared" si="29"/>
        <v/>
      </c>
      <c r="BH31" s="212"/>
      <c r="BI31" s="884">
        <f t="shared" si="30"/>
        <v>0</v>
      </c>
      <c r="BJ31" s="212"/>
      <c r="BK31" s="258">
        <f t="shared" si="31"/>
        <v>0</v>
      </c>
      <c r="BL31" s="214">
        <f t="shared" si="32"/>
        <v>0.104</v>
      </c>
      <c r="BM31" s="213"/>
      <c r="BN31" s="215">
        <f t="shared" si="7"/>
        <v>0</v>
      </c>
      <c r="BO31" s="212" t="s">
        <v>209</v>
      </c>
      <c r="BP31" s="215">
        <f t="shared" si="43"/>
        <v>0</v>
      </c>
      <c r="BQ31" s="215">
        <f t="shared" si="8"/>
        <v>0</v>
      </c>
      <c r="BR31" s="217">
        <f t="shared" si="33"/>
        <v>0</v>
      </c>
      <c r="BT31" s="224"/>
      <c r="BU31" s="219" t="str">
        <f t="shared" si="34"/>
        <v/>
      </c>
      <c r="BV31" s="212"/>
      <c r="BW31" s="884">
        <f t="shared" si="35"/>
        <v>0</v>
      </c>
      <c r="BX31" s="212"/>
      <c r="BY31" s="258">
        <f t="shared" si="36"/>
        <v>0</v>
      </c>
      <c r="BZ31" s="214">
        <f t="shared" si="37"/>
        <v>0.104</v>
      </c>
      <c r="CA31" s="213"/>
      <c r="CB31" s="215">
        <f t="shared" si="9"/>
        <v>0</v>
      </c>
      <c r="CC31" s="212" t="s">
        <v>209</v>
      </c>
      <c r="CD31" s="215">
        <f t="shared" si="44"/>
        <v>0</v>
      </c>
      <c r="CE31" s="215">
        <f t="shared" si="10"/>
        <v>0</v>
      </c>
      <c r="CF31" s="217">
        <f t="shared" si="38"/>
        <v>0</v>
      </c>
    </row>
    <row r="32" spans="2:84" ht="18" customHeight="1">
      <c r="B32" s="224"/>
      <c r="C32" s="211"/>
      <c r="D32" s="212"/>
      <c r="E32" s="212"/>
      <c r="F32" s="212"/>
      <c r="G32" s="213"/>
      <c r="H32" s="214">
        <f t="shared" si="11"/>
        <v>0.104</v>
      </c>
      <c r="I32" s="213"/>
      <c r="J32" s="215">
        <f t="shared" si="12"/>
        <v>0</v>
      </c>
      <c r="K32" s="212" t="s">
        <v>209</v>
      </c>
      <c r="L32" s="215">
        <f t="shared" si="39"/>
        <v>0</v>
      </c>
      <c r="M32" s="215">
        <f t="shared" si="0"/>
        <v>0</v>
      </c>
      <c r="N32" s="217">
        <f t="shared" si="13"/>
        <v>0</v>
      </c>
      <c r="P32" s="224"/>
      <c r="Q32" s="219" t="str">
        <f t="shared" si="14"/>
        <v/>
      </c>
      <c r="R32" s="212"/>
      <c r="S32" s="884">
        <f t="shared" si="15"/>
        <v>0</v>
      </c>
      <c r="T32" s="212"/>
      <c r="U32" s="258">
        <f t="shared" si="16"/>
        <v>0</v>
      </c>
      <c r="V32" s="214">
        <f t="shared" si="17"/>
        <v>0.104</v>
      </c>
      <c r="W32" s="213"/>
      <c r="X32" s="215">
        <f t="shared" si="1"/>
        <v>0</v>
      </c>
      <c r="Y32" s="212" t="s">
        <v>209</v>
      </c>
      <c r="Z32" s="215">
        <f t="shared" si="40"/>
        <v>0</v>
      </c>
      <c r="AA32" s="215">
        <f t="shared" si="2"/>
        <v>0</v>
      </c>
      <c r="AB32" s="217">
        <f t="shared" si="18"/>
        <v>0</v>
      </c>
      <c r="AD32" s="224"/>
      <c r="AE32" s="219" t="str">
        <f t="shared" si="19"/>
        <v/>
      </c>
      <c r="AF32" s="212"/>
      <c r="AG32" s="884">
        <f t="shared" si="20"/>
        <v>0</v>
      </c>
      <c r="AH32" s="212"/>
      <c r="AI32" s="258">
        <f t="shared" si="21"/>
        <v>0</v>
      </c>
      <c r="AJ32" s="214">
        <f t="shared" si="22"/>
        <v>0.104</v>
      </c>
      <c r="AK32" s="213"/>
      <c r="AL32" s="215">
        <f t="shared" si="3"/>
        <v>0</v>
      </c>
      <c r="AM32" s="212" t="s">
        <v>209</v>
      </c>
      <c r="AN32" s="215">
        <f t="shared" si="41"/>
        <v>0</v>
      </c>
      <c r="AO32" s="215">
        <f t="shared" si="4"/>
        <v>0</v>
      </c>
      <c r="AP32" s="217">
        <f t="shared" si="23"/>
        <v>0</v>
      </c>
      <c r="AR32" s="224"/>
      <c r="AS32" s="219" t="str">
        <f t="shared" si="24"/>
        <v/>
      </c>
      <c r="AT32" s="212"/>
      <c r="AU32" s="884">
        <f t="shared" si="25"/>
        <v>0</v>
      </c>
      <c r="AV32" s="212"/>
      <c r="AW32" s="258">
        <f t="shared" si="26"/>
        <v>0</v>
      </c>
      <c r="AX32" s="214">
        <f t="shared" si="27"/>
        <v>0.104</v>
      </c>
      <c r="AY32" s="213"/>
      <c r="AZ32" s="215">
        <f t="shared" si="5"/>
        <v>0</v>
      </c>
      <c r="BA32" s="212" t="s">
        <v>209</v>
      </c>
      <c r="BB32" s="215">
        <f t="shared" si="42"/>
        <v>0</v>
      </c>
      <c r="BC32" s="215">
        <f t="shared" si="6"/>
        <v>0</v>
      </c>
      <c r="BD32" s="217">
        <f t="shared" si="28"/>
        <v>0</v>
      </c>
      <c r="BF32" s="224"/>
      <c r="BG32" s="219" t="str">
        <f t="shared" si="29"/>
        <v/>
      </c>
      <c r="BH32" s="212"/>
      <c r="BI32" s="884">
        <f t="shared" si="30"/>
        <v>0</v>
      </c>
      <c r="BJ32" s="212"/>
      <c r="BK32" s="258">
        <f t="shared" si="31"/>
        <v>0</v>
      </c>
      <c r="BL32" s="214">
        <f t="shared" si="32"/>
        <v>0.104</v>
      </c>
      <c r="BM32" s="213"/>
      <c r="BN32" s="215">
        <f t="shared" si="7"/>
        <v>0</v>
      </c>
      <c r="BO32" s="212" t="s">
        <v>209</v>
      </c>
      <c r="BP32" s="215">
        <f t="shared" si="43"/>
        <v>0</v>
      </c>
      <c r="BQ32" s="215">
        <f t="shared" si="8"/>
        <v>0</v>
      </c>
      <c r="BR32" s="217">
        <f t="shared" si="33"/>
        <v>0</v>
      </c>
      <c r="BT32" s="224"/>
      <c r="BU32" s="219" t="str">
        <f t="shared" si="34"/>
        <v/>
      </c>
      <c r="BV32" s="212"/>
      <c r="BW32" s="884">
        <f t="shared" si="35"/>
        <v>0</v>
      </c>
      <c r="BX32" s="212"/>
      <c r="BY32" s="258">
        <f t="shared" si="36"/>
        <v>0</v>
      </c>
      <c r="BZ32" s="214">
        <f t="shared" si="37"/>
        <v>0.104</v>
      </c>
      <c r="CA32" s="213"/>
      <c r="CB32" s="215">
        <f t="shared" si="9"/>
        <v>0</v>
      </c>
      <c r="CC32" s="212" t="s">
        <v>209</v>
      </c>
      <c r="CD32" s="215">
        <f t="shared" si="44"/>
        <v>0</v>
      </c>
      <c r="CE32" s="215">
        <f t="shared" si="10"/>
        <v>0</v>
      </c>
      <c r="CF32" s="217">
        <f t="shared" si="38"/>
        <v>0</v>
      </c>
    </row>
    <row r="33" spans="2:84" ht="18" customHeight="1" thickBot="1">
      <c r="B33" s="225"/>
      <c r="C33" s="226" t="s">
        <v>237</v>
      </c>
      <c r="D33" s="227"/>
      <c r="E33" s="227"/>
      <c r="F33" s="228"/>
      <c r="G33" s="228"/>
      <c r="H33" s="228"/>
      <c r="I33" s="229"/>
      <c r="J33" s="228"/>
      <c r="K33" s="228"/>
      <c r="L33" s="228"/>
      <c r="M33" s="228"/>
      <c r="N33" s="230" t="str">
        <f>IF(COUNTIF(C9:C32,"&gt;0")&lt;&gt;B9,"ERROR",IF(B9=12,SUM(N9:N20),IF(B9=24,SUM(N9:N32),IF(B9="-","ERROR"))))</f>
        <v>ERROR</v>
      </c>
      <c r="P33" s="225"/>
      <c r="Q33" s="226" t="s">
        <v>237</v>
      </c>
      <c r="R33" s="227"/>
      <c r="S33" s="227"/>
      <c r="T33" s="228"/>
      <c r="U33" s="228"/>
      <c r="V33" s="228"/>
      <c r="W33" s="229"/>
      <c r="X33" s="228"/>
      <c r="Y33" s="228"/>
      <c r="Z33" s="228"/>
      <c r="AA33" s="228"/>
      <c r="AB33" s="230" t="str">
        <f>IF(COUNTIF(Q9:Q32,"&gt;0")&lt;&gt;P9,"ERROR",IF(P9=12,SUM(AB9:AB20),IF(P9=24,SUM(AB9:AB32),IF(P9="-","ERROR"))))</f>
        <v>ERROR</v>
      </c>
      <c r="AD33" s="225"/>
      <c r="AE33" s="226" t="s">
        <v>237</v>
      </c>
      <c r="AF33" s="227"/>
      <c r="AG33" s="227"/>
      <c r="AH33" s="228"/>
      <c r="AI33" s="228"/>
      <c r="AJ33" s="228"/>
      <c r="AK33" s="229"/>
      <c r="AL33" s="228"/>
      <c r="AM33" s="228"/>
      <c r="AN33" s="228"/>
      <c r="AO33" s="228"/>
      <c r="AP33" s="230" t="str">
        <f>IF(COUNTIF(AE9:AE32,"&gt;0")&lt;&gt;AD9,"ERROR",IF(AD9=12,SUM(AP9:AP20),IF(AD9=24,SUM(AP9:AP32),IF(AD9="-","ERROR"))))</f>
        <v>ERROR</v>
      </c>
      <c r="AR33" s="225"/>
      <c r="AS33" s="226" t="s">
        <v>237</v>
      </c>
      <c r="AT33" s="227"/>
      <c r="AU33" s="227"/>
      <c r="AV33" s="228"/>
      <c r="AW33" s="228"/>
      <c r="AX33" s="228"/>
      <c r="AY33" s="229"/>
      <c r="AZ33" s="228"/>
      <c r="BA33" s="228"/>
      <c r="BB33" s="228"/>
      <c r="BC33" s="228"/>
      <c r="BD33" s="230" t="str">
        <f>IF(COUNTIF(AS9:AS32,"&gt;0")&lt;&gt;AR9,"ERROR",IF(AR9=12,SUM(BD9:BD20),IF(AR9=24,SUM(BD9:BD32),IF(AR9="-","ERROR"))))</f>
        <v>ERROR</v>
      </c>
      <c r="BF33" s="225"/>
      <c r="BG33" s="226" t="s">
        <v>237</v>
      </c>
      <c r="BH33" s="227"/>
      <c r="BI33" s="227"/>
      <c r="BJ33" s="228"/>
      <c r="BK33" s="228"/>
      <c r="BL33" s="228"/>
      <c r="BM33" s="229"/>
      <c r="BN33" s="228"/>
      <c r="BO33" s="228"/>
      <c r="BP33" s="228"/>
      <c r="BQ33" s="228"/>
      <c r="BR33" s="230" t="str">
        <f>IF(COUNTIF(BG9:BG32,"&gt;0")&lt;&gt;BF9,"ERROR",IF(BF9=12,SUM(BR9:BR20),IF(BF9=24,SUM(BR9:BR32),IF(BF9="-","ERROR"))))</f>
        <v>ERROR</v>
      </c>
      <c r="BT33" s="225"/>
      <c r="BU33" s="226" t="s">
        <v>237</v>
      </c>
      <c r="BV33" s="227"/>
      <c r="BW33" s="227"/>
      <c r="BX33" s="228"/>
      <c r="BY33" s="228"/>
      <c r="BZ33" s="228"/>
      <c r="CA33" s="229"/>
      <c r="CB33" s="228"/>
      <c r="CC33" s="228"/>
      <c r="CD33" s="228"/>
      <c r="CE33" s="228"/>
      <c r="CF33" s="230" t="str">
        <f>IF(COUNTIF(BU9:BU32,"&gt;0")&lt;&gt;BT9,"ERROR",IF(BT9=12,SUM(CF9:CF20),IF(BT9=24,SUM(CF9:CF32),IF(BT9="-","ERROR"))))</f>
        <v>ERROR</v>
      </c>
    </row>
    <row r="34" spans="2:84">
      <c r="G34" s="231"/>
    </row>
    <row r="35" spans="2:84" ht="15.75" thickBot="1">
      <c r="G35" s="231"/>
    </row>
    <row r="36" spans="2:84" ht="40.5" customHeight="1" thickBot="1">
      <c r="B36" s="930" t="s">
        <v>238</v>
      </c>
      <c r="C36" s="931"/>
      <c r="D36" s="931"/>
      <c r="E36" s="931"/>
      <c r="F36" s="931"/>
      <c r="G36" s="931"/>
      <c r="H36" s="931"/>
      <c r="I36" s="932"/>
    </row>
    <row r="37" spans="2:84" ht="51" customHeight="1">
      <c r="B37" s="232"/>
      <c r="C37" s="883" t="s">
        <v>239</v>
      </c>
      <c r="D37" s="933" t="s">
        <v>240</v>
      </c>
      <c r="E37" s="934"/>
      <c r="F37" s="934"/>
      <c r="G37" s="934"/>
      <c r="H37" s="934"/>
      <c r="I37" s="935"/>
      <c r="J37" s="233"/>
    </row>
    <row r="38" spans="2:84" ht="34.5" customHeight="1">
      <c r="B38" s="234" t="s">
        <v>241</v>
      </c>
      <c r="C38" s="235"/>
      <c r="D38" s="236" t="str">
        <f>$B$7</f>
        <v>-</v>
      </c>
      <c r="E38" s="236" t="str">
        <f>$P$7</f>
        <v>-</v>
      </c>
      <c r="F38" s="236" t="str">
        <f>$AD$7</f>
        <v>-</v>
      </c>
      <c r="G38" s="236" t="str">
        <f>$AR$7</f>
        <v>-</v>
      </c>
      <c r="H38" s="236" t="str">
        <f>$BF$7</f>
        <v>-</v>
      </c>
      <c r="I38" s="237" t="str">
        <f>$BT$7</f>
        <v>-</v>
      </c>
      <c r="J38" s="233"/>
    </row>
    <row r="39" spans="2:84" ht="25.5" customHeight="1">
      <c r="B39" s="234" t="s">
        <v>242</v>
      </c>
      <c r="C39" s="238"/>
      <c r="D39" s="239"/>
      <c r="E39" s="239"/>
      <c r="F39" s="239"/>
      <c r="G39" s="239"/>
      <c r="H39" s="239"/>
      <c r="I39" s="240"/>
      <c r="J39" s="233"/>
    </row>
    <row r="40" spans="2:84" ht="18" customHeight="1">
      <c r="B40" s="241" t="s">
        <v>243</v>
      </c>
      <c r="C40" s="884">
        <f>IFERROR(IF(B40&gt;0, VLOOKUP(B40, Reference!$A$168:$T$184, MATCH('Biogas-to-RNG'!$F$20, Reference!$A$168:$T$168), FALSE),0),0)</f>
        <v>0</v>
      </c>
      <c r="D40" s="242"/>
      <c r="E40" s="242"/>
      <c r="F40" s="242"/>
      <c r="G40" s="242"/>
      <c r="H40" s="242"/>
      <c r="I40" s="243"/>
      <c r="J40" s="233"/>
    </row>
    <row r="41" spans="2:84" ht="18" customHeight="1">
      <c r="B41" s="241" t="s">
        <v>243</v>
      </c>
      <c r="C41" s="884">
        <f>IFERROR(IF(B41&gt;0, VLOOKUP(B41, Reference!$A$168:$T$184, MATCH('Biogas-to-RNG'!$F$20, Reference!$A$168:$T$168), FALSE),0),0)</f>
        <v>0</v>
      </c>
      <c r="D41" s="242"/>
      <c r="E41" s="242"/>
      <c r="F41" s="242"/>
      <c r="G41" s="242"/>
      <c r="H41" s="242"/>
      <c r="I41" s="243"/>
      <c r="J41" s="233"/>
    </row>
    <row r="42" spans="2:84" ht="18" customHeight="1">
      <c r="B42" s="241" t="s">
        <v>243</v>
      </c>
      <c r="C42" s="884">
        <f>IFERROR(IF(B42&gt;0, VLOOKUP(B42, Reference!$A$168:$T$184, MATCH('Biogas-to-RNG'!$F$20, Reference!$A$168:$T$168), FALSE),0),0)</f>
        <v>0</v>
      </c>
      <c r="D42" s="242"/>
      <c r="E42" s="242"/>
      <c r="F42" s="242"/>
      <c r="G42" s="242"/>
      <c r="H42" s="242"/>
      <c r="I42" s="243"/>
      <c r="J42" s="233"/>
    </row>
    <row r="43" spans="2:84" ht="18" customHeight="1">
      <c r="B43" s="241" t="s">
        <v>243</v>
      </c>
      <c r="C43" s="884">
        <f>IFERROR(IF(B43&gt;0, VLOOKUP(B43, Reference!$A$168:$T$184, MATCH('Biogas-to-RNG'!$F$20, Reference!$A$168:$T$168), FALSE),0),0)</f>
        <v>0</v>
      </c>
      <c r="D43" s="242"/>
      <c r="E43" s="242"/>
      <c r="F43" s="242"/>
      <c r="G43" s="242"/>
      <c r="H43" s="242"/>
      <c r="I43" s="243"/>
      <c r="J43" s="233"/>
    </row>
    <row r="44" spans="2:84" ht="18" customHeight="1">
      <c r="B44" s="241" t="s">
        <v>243</v>
      </c>
      <c r="C44" s="884">
        <f>IFERROR(IF(B44&gt;0, VLOOKUP(B44, Reference!$A$168:$T$184, MATCH('Biogas-to-RNG'!$F$20, Reference!$A$168:$T$168), FALSE),0),0)</f>
        <v>0</v>
      </c>
      <c r="D44" s="242"/>
      <c r="E44" s="242"/>
      <c r="F44" s="242"/>
      <c r="G44" s="242"/>
      <c r="H44" s="242"/>
      <c r="I44" s="243"/>
      <c r="J44" s="233"/>
    </row>
    <row r="45" spans="2:84" ht="18" customHeight="1">
      <c r="B45" s="241" t="s">
        <v>243</v>
      </c>
      <c r="C45" s="884">
        <f>IFERROR(IF(B45&gt;0, VLOOKUP(B45, Reference!$A$168:$T$184, MATCH('Biogas-to-RNG'!$F$20, Reference!$A$168:$T$168), FALSE),0),0)</f>
        <v>0</v>
      </c>
      <c r="D45" s="242"/>
      <c r="E45" s="242"/>
      <c r="F45" s="242"/>
      <c r="G45" s="242"/>
      <c r="H45" s="242"/>
      <c r="I45" s="243"/>
      <c r="J45" s="233"/>
    </row>
    <row r="46" spans="2:84" ht="18" customHeight="1">
      <c r="B46" s="241" t="s">
        <v>243</v>
      </c>
      <c r="C46" s="884">
        <f>IFERROR(IF(B46&gt;0, VLOOKUP(B46, Reference!$A$168:$T$184, MATCH('Biogas-to-RNG'!$F$20, Reference!$A$168:$T$168), FALSE),0),0)</f>
        <v>0</v>
      </c>
      <c r="D46" s="242"/>
      <c r="E46" s="242"/>
      <c r="F46" s="242"/>
      <c r="G46" s="242"/>
      <c r="H46" s="242"/>
      <c r="I46" s="243"/>
      <c r="J46" s="244" t="s">
        <v>244</v>
      </c>
    </row>
    <row r="47" spans="2:84" ht="59.45" customHeight="1" thickBot="1">
      <c r="B47" s="855" t="s">
        <v>245</v>
      </c>
      <c r="C47" s="843"/>
      <c r="D47" s="245">
        <f>IFERROR(($D$84*$E$84*$I$84*0.68)*SUMPRODUCT($C$40:$C$46,D40:D46)*$C$84*0.001, 0)</f>
        <v>0</v>
      </c>
      <c r="E47" s="246">
        <f>IFERROR(($D$85*$E$85*$I$84*0.68)*SUMPRODUCT($C$40:$C$46,E40:E46)*$C$85*0.001,0)</f>
        <v>0</v>
      </c>
      <c r="F47" s="246">
        <f>IFERROR(($D$86*$E$86*$I$84*0.68)*SUMPRODUCT($C$40:$C$46,F40:F46)*$C$86*0.001,0)</f>
        <v>0</v>
      </c>
      <c r="G47" s="246">
        <f>IFERROR(($D$87*$E$87*$I$84*0.68)*SUMPRODUCT($C$40:$C$46,G40:G46)*$C$87*0.001,0)</f>
        <v>0</v>
      </c>
      <c r="H47" s="246">
        <f>IFERROR(($D$88*$E$88*$I$84*0.68)*SUMPRODUCT($C$40:$C$46,H40:H46)*$C$88*0.001,0)</f>
        <v>0</v>
      </c>
      <c r="I47" s="247">
        <f>IFERROR(($D$89*$E$89*$I$84*0.68)*SUMPRODUCT($C$40:$C$46,I40:I46)*$C$89*0.001,0)</f>
        <v>0</v>
      </c>
      <c r="J47" s="248">
        <f>SUM(D47:I47)</f>
        <v>0</v>
      </c>
    </row>
    <row r="49" spans="2:14" ht="15.75" thickBot="1"/>
    <row r="50" spans="2:14" ht="47.25" customHeight="1" thickBot="1">
      <c r="B50" s="930" t="s">
        <v>246</v>
      </c>
      <c r="C50" s="931"/>
      <c r="D50" s="931"/>
      <c r="E50" s="931"/>
      <c r="F50" s="931"/>
      <c r="G50" s="931"/>
      <c r="H50" s="931"/>
      <c r="I50" s="932"/>
      <c r="N50" s="249"/>
    </row>
    <row r="51" spans="2:14" ht="47.25" customHeight="1" thickBot="1">
      <c r="B51" s="941" t="s">
        <v>247</v>
      </c>
      <c r="C51" s="943" t="s">
        <v>248</v>
      </c>
      <c r="D51" s="944"/>
      <c r="E51" s="944"/>
      <c r="F51" s="945"/>
      <c r="G51" s="946" t="s">
        <v>249</v>
      </c>
      <c r="H51" s="945"/>
      <c r="I51" s="947" t="s">
        <v>250</v>
      </c>
      <c r="N51" s="249"/>
    </row>
    <row r="52" spans="2:14" ht="95.45" customHeight="1">
      <c r="B52" s="942"/>
      <c r="C52" s="831" t="s">
        <v>251</v>
      </c>
      <c r="D52" s="883" t="s">
        <v>252</v>
      </c>
      <c r="E52" s="883" t="s">
        <v>253</v>
      </c>
      <c r="F52" s="250" t="s">
        <v>254</v>
      </c>
      <c r="G52" s="253" t="s">
        <v>255</v>
      </c>
      <c r="H52" s="838" t="s">
        <v>256</v>
      </c>
      <c r="I52" s="948"/>
    </row>
    <row r="53" spans="2:14" ht="33.75">
      <c r="B53" s="206"/>
      <c r="C53" s="207" t="s">
        <v>257</v>
      </c>
      <c r="D53" s="207" t="s">
        <v>258</v>
      </c>
      <c r="E53" s="207" t="s">
        <v>259</v>
      </c>
      <c r="F53" s="209" t="s">
        <v>260</v>
      </c>
      <c r="G53" s="378" t="s">
        <v>261</v>
      </c>
      <c r="H53" s="839" t="s">
        <v>262</v>
      </c>
      <c r="I53" s="893" t="s">
        <v>263</v>
      </c>
    </row>
    <row r="54" spans="2:14" ht="18" customHeight="1">
      <c r="B54" s="219" t="str">
        <f>IF('Biogas-to-RNG'!B28=0, " ",'Biogas-to-RNG'!B28)</f>
        <v xml:space="preserve"> </v>
      </c>
      <c r="C54" s="251"/>
      <c r="D54" s="251"/>
      <c r="E54" s="212"/>
      <c r="F54" s="832"/>
      <c r="G54" s="840"/>
      <c r="H54" s="865"/>
      <c r="I54" s="836">
        <f>((D54*E54+C54)*F54)*0.0423*0.000454+G54*H54*Reference!$E$16/(10^6)</f>
        <v>0</v>
      </c>
    </row>
    <row r="55" spans="2:14" ht="18" customHeight="1">
      <c r="B55" s="219" t="str">
        <f>IF('Biogas-to-RNG'!B29=0, " ",'Biogas-to-RNG'!B29)</f>
        <v xml:space="preserve"> </v>
      </c>
      <c r="C55" s="251"/>
      <c r="D55" s="251"/>
      <c r="E55" s="212"/>
      <c r="F55" s="832"/>
      <c r="G55" s="840"/>
      <c r="H55" s="865"/>
      <c r="I55" s="836">
        <f>((D55*E55+C55)*F55)*0.0423*0.000454+G55*H55*Reference!$E$16/(10^6)</f>
        <v>0</v>
      </c>
    </row>
    <row r="56" spans="2:14" ht="18" customHeight="1">
      <c r="B56" s="219" t="str">
        <f>IF('Biogas-to-RNG'!B30=0, " ",'Biogas-to-RNG'!B30)</f>
        <v xml:space="preserve"> </v>
      </c>
      <c r="C56" s="251"/>
      <c r="D56" s="251"/>
      <c r="E56" s="212"/>
      <c r="F56" s="832"/>
      <c r="G56" s="840"/>
      <c r="H56" s="865"/>
      <c r="I56" s="836">
        <f>((D56*E56+C56)*F56)*0.0423*0.000454+G56*H56*Reference!$E$16/(10^6)</f>
        <v>0</v>
      </c>
    </row>
    <row r="57" spans="2:14" ht="18" customHeight="1">
      <c r="B57" s="219" t="str">
        <f>IF('Biogas-to-RNG'!B31=0, " ",'Biogas-to-RNG'!B31)</f>
        <v xml:space="preserve"> </v>
      </c>
      <c r="C57" s="251"/>
      <c r="D57" s="251"/>
      <c r="E57" s="212"/>
      <c r="F57" s="832"/>
      <c r="G57" s="840"/>
      <c r="H57" s="865"/>
      <c r="I57" s="836">
        <f>((D57*E57+C57)*F57)*0.0423*0.000454+G57*H57*Reference!$E$16/(10^6)</f>
        <v>0</v>
      </c>
    </row>
    <row r="58" spans="2:14" ht="18" customHeight="1">
      <c r="B58" s="219" t="str">
        <f>IF('Biogas-to-RNG'!B32=0, " ",'Biogas-to-RNG'!B32)</f>
        <v xml:space="preserve"> </v>
      </c>
      <c r="C58" s="251"/>
      <c r="D58" s="251"/>
      <c r="E58" s="212"/>
      <c r="F58" s="832"/>
      <c r="G58" s="840"/>
      <c r="H58" s="865"/>
      <c r="I58" s="836">
        <f>((D58*E58+C58)*F58)*0.0423*0.000454+G58*H58*Reference!$E$16/(10^6)</f>
        <v>0</v>
      </c>
    </row>
    <row r="59" spans="2:14" ht="18" customHeight="1">
      <c r="B59" s="219" t="str">
        <f>IF('Biogas-to-RNG'!B33=0, " ",'Biogas-to-RNG'!B33)</f>
        <v xml:space="preserve"> </v>
      </c>
      <c r="C59" s="251"/>
      <c r="D59" s="251"/>
      <c r="E59" s="212"/>
      <c r="F59" s="832"/>
      <c r="G59" s="840"/>
      <c r="H59" s="865"/>
      <c r="I59" s="836">
        <f>((D59*E59+C59)*F59)*0.0423*0.000454+G59*H59*Reference!$E$16/(10^6)</f>
        <v>0</v>
      </c>
    </row>
    <row r="60" spans="2:14" ht="18" customHeight="1">
      <c r="B60" s="219" t="str">
        <f>IF('Biogas-to-RNG'!B34=0, " ",'Biogas-to-RNG'!B34)</f>
        <v xml:space="preserve"> </v>
      </c>
      <c r="C60" s="251"/>
      <c r="D60" s="251"/>
      <c r="E60" s="212"/>
      <c r="F60" s="832"/>
      <c r="G60" s="840"/>
      <c r="H60" s="865"/>
      <c r="I60" s="836">
        <f>((D60*E60+C60)*F60)*0.0423*0.000454+G60*H60*Reference!$E$16/(10^6)</f>
        <v>0</v>
      </c>
    </row>
    <row r="61" spans="2:14" ht="18" customHeight="1">
      <c r="B61" s="219" t="str">
        <f>IF('Biogas-to-RNG'!B35=0, " ",'Biogas-to-RNG'!B35)</f>
        <v xml:space="preserve"> </v>
      </c>
      <c r="C61" s="251"/>
      <c r="D61" s="251"/>
      <c r="E61" s="212"/>
      <c r="F61" s="832"/>
      <c r="G61" s="840"/>
      <c r="H61" s="865"/>
      <c r="I61" s="836">
        <f>((D61*E61+C61)*F61)*0.0423*0.000454+G61*H61*Reference!$E$16/(10^6)</f>
        <v>0</v>
      </c>
    </row>
    <row r="62" spans="2:14" ht="18" customHeight="1">
      <c r="B62" s="219" t="str">
        <f>IF('Biogas-to-RNG'!B36=0, " ",'Biogas-to-RNG'!B36)</f>
        <v xml:space="preserve"> </v>
      </c>
      <c r="C62" s="251"/>
      <c r="D62" s="251"/>
      <c r="E62" s="212"/>
      <c r="F62" s="832"/>
      <c r="G62" s="840"/>
      <c r="H62" s="865"/>
      <c r="I62" s="836">
        <f>((D62*E62+C62)*F62)*0.0423*0.000454+G62*H62*Reference!$E$16/(10^6)</f>
        <v>0</v>
      </c>
    </row>
    <row r="63" spans="2:14" ht="18" customHeight="1">
      <c r="B63" s="219" t="str">
        <f>IF('Biogas-to-RNG'!B37=0, " ",'Biogas-to-RNG'!B37)</f>
        <v xml:space="preserve"> </v>
      </c>
      <c r="C63" s="251"/>
      <c r="D63" s="251"/>
      <c r="E63" s="212"/>
      <c r="F63" s="832"/>
      <c r="G63" s="840"/>
      <c r="H63" s="865"/>
      <c r="I63" s="836">
        <f>((D63*E63+C63)*F63)*0.0423*0.000454+G63*H63*Reference!$E$16/(10^6)</f>
        <v>0</v>
      </c>
    </row>
    <row r="64" spans="2:14" ht="18" customHeight="1">
      <c r="B64" s="219" t="str">
        <f>IF('Biogas-to-RNG'!B38=0, " ",'Biogas-to-RNG'!B38)</f>
        <v xml:space="preserve"> </v>
      </c>
      <c r="C64" s="251"/>
      <c r="D64" s="251"/>
      <c r="E64" s="212"/>
      <c r="F64" s="832"/>
      <c r="G64" s="840"/>
      <c r="H64" s="865"/>
      <c r="I64" s="836">
        <f>((D64*E64+C64)*F64)*0.0423*0.000454+G64*H64*Reference!$E$16/(10^6)</f>
        <v>0</v>
      </c>
    </row>
    <row r="65" spans="2:9" ht="18" customHeight="1">
      <c r="B65" s="219" t="str">
        <f>IF('Biogas-to-RNG'!B39=0, " ",'Biogas-to-RNG'!B39)</f>
        <v xml:space="preserve"> </v>
      </c>
      <c r="C65" s="251"/>
      <c r="D65" s="251"/>
      <c r="E65" s="212"/>
      <c r="F65" s="832"/>
      <c r="G65" s="840"/>
      <c r="H65" s="865"/>
      <c r="I65" s="836">
        <f>((D65*E65+C65)*F65)*0.0423*0.000454+G65*H65*Reference!$E$16/(10^6)</f>
        <v>0</v>
      </c>
    </row>
    <row r="66" spans="2:9" ht="18" customHeight="1">
      <c r="B66" s="219" t="str">
        <f>IF('Biogas-to-RNG'!B40=0, " ",'Biogas-to-RNG'!B40)</f>
        <v xml:space="preserve"> </v>
      </c>
      <c r="C66" s="251"/>
      <c r="D66" s="251"/>
      <c r="E66" s="212"/>
      <c r="F66" s="832"/>
      <c r="G66" s="840"/>
      <c r="H66" s="865"/>
      <c r="I66" s="836">
        <f>((D66*E66+C66)*F66)*0.0423*0.000454+G66*H66*Reference!$E$16/(10^6)</f>
        <v>0</v>
      </c>
    </row>
    <row r="67" spans="2:9" ht="18" customHeight="1">
      <c r="B67" s="219" t="str">
        <f>IF('Biogas-to-RNG'!B41=0, " ",'Biogas-to-RNG'!B41)</f>
        <v xml:space="preserve"> </v>
      </c>
      <c r="C67" s="251"/>
      <c r="D67" s="251"/>
      <c r="E67" s="212"/>
      <c r="F67" s="832"/>
      <c r="G67" s="840"/>
      <c r="H67" s="865"/>
      <c r="I67" s="836">
        <f>((D67*E67+C67)*F67)*0.0423*0.000454+G67*H67*Reference!$E$16/(10^6)</f>
        <v>0</v>
      </c>
    </row>
    <row r="68" spans="2:9" ht="18" customHeight="1">
      <c r="B68" s="219" t="str">
        <f>IF('Biogas-to-RNG'!B42=0, " ",'Biogas-to-RNG'!B42)</f>
        <v xml:space="preserve"> </v>
      </c>
      <c r="C68" s="251"/>
      <c r="D68" s="251"/>
      <c r="E68" s="212"/>
      <c r="F68" s="832"/>
      <c r="G68" s="840"/>
      <c r="H68" s="865"/>
      <c r="I68" s="836">
        <f>((D68*E68+C68)*F68)*0.0423*0.000454+G68*H68*Reference!$E$16/(10^6)</f>
        <v>0</v>
      </c>
    </row>
    <row r="69" spans="2:9" ht="18" customHeight="1">
      <c r="B69" s="219" t="str">
        <f>IF('Biogas-to-RNG'!B43=0, " ",'Biogas-to-RNG'!B43)</f>
        <v xml:space="preserve"> </v>
      </c>
      <c r="C69" s="251"/>
      <c r="D69" s="251"/>
      <c r="E69" s="212"/>
      <c r="F69" s="832"/>
      <c r="G69" s="840"/>
      <c r="H69" s="865"/>
      <c r="I69" s="836">
        <f>((D69*E69+C69)*F69)*0.0423*0.000454+G69*H69*Reference!$E$16/(10^6)</f>
        <v>0</v>
      </c>
    </row>
    <row r="70" spans="2:9" ht="18" customHeight="1">
      <c r="B70" s="219" t="str">
        <f>IF('Biogas-to-RNG'!B44=0, " ",'Biogas-to-RNG'!B44)</f>
        <v xml:space="preserve"> </v>
      </c>
      <c r="C70" s="251"/>
      <c r="D70" s="251"/>
      <c r="E70" s="212"/>
      <c r="F70" s="832"/>
      <c r="G70" s="840"/>
      <c r="H70" s="865"/>
      <c r="I70" s="836">
        <f>((D70*E70+C70)*F70)*0.0423*0.000454+G70*H70*Reference!$E$16/(10^6)</f>
        <v>0</v>
      </c>
    </row>
    <row r="71" spans="2:9" ht="18" customHeight="1">
      <c r="B71" s="219" t="str">
        <f>IF('Biogas-to-RNG'!B45=0, " ",'Biogas-to-RNG'!B45)</f>
        <v xml:space="preserve"> </v>
      </c>
      <c r="C71" s="251"/>
      <c r="D71" s="251"/>
      <c r="E71" s="212"/>
      <c r="F71" s="832"/>
      <c r="G71" s="840"/>
      <c r="H71" s="865"/>
      <c r="I71" s="836">
        <f>((D71*E71+C71)*F71)*0.0423*0.000454+G71*H71*Reference!$E$16/(10^6)</f>
        <v>0</v>
      </c>
    </row>
    <row r="72" spans="2:9" ht="18" customHeight="1">
      <c r="B72" s="219" t="str">
        <f>IF('Biogas-to-RNG'!B46=0, " ",'Biogas-to-RNG'!B46)</f>
        <v xml:space="preserve"> </v>
      </c>
      <c r="C72" s="251"/>
      <c r="D72" s="251"/>
      <c r="E72" s="212"/>
      <c r="F72" s="832"/>
      <c r="G72" s="840"/>
      <c r="H72" s="865"/>
      <c r="I72" s="836">
        <f>((D72*E72+C72)*F72)*0.0423*0.000454+G72*H72*Reference!$E$16/(10^6)</f>
        <v>0</v>
      </c>
    </row>
    <row r="73" spans="2:9" ht="18" customHeight="1">
      <c r="B73" s="219" t="str">
        <f>IF('Biogas-to-RNG'!B47=0, " ",'Biogas-to-RNG'!B47)</f>
        <v xml:space="preserve"> </v>
      </c>
      <c r="C73" s="251"/>
      <c r="D73" s="251"/>
      <c r="E73" s="212"/>
      <c r="F73" s="832"/>
      <c r="G73" s="840"/>
      <c r="H73" s="865"/>
      <c r="I73" s="836">
        <f>((D73*E73+C73)*F73)*0.0423*0.000454+G73*H73*Reference!$E$16/(10^6)</f>
        <v>0</v>
      </c>
    </row>
    <row r="74" spans="2:9" ht="18" customHeight="1">
      <c r="B74" s="219" t="str">
        <f>IF('Biogas-to-RNG'!B48=0, " ",'Biogas-to-RNG'!B48)</f>
        <v xml:space="preserve"> </v>
      </c>
      <c r="C74" s="251"/>
      <c r="D74" s="251"/>
      <c r="E74" s="212"/>
      <c r="F74" s="832"/>
      <c r="G74" s="840"/>
      <c r="H74" s="865"/>
      <c r="I74" s="836">
        <f>((D74*E74+C74)*F74)*0.0423*0.000454+G74*H74*Reference!$E$16/(10^6)</f>
        <v>0</v>
      </c>
    </row>
    <row r="75" spans="2:9" ht="18" customHeight="1">
      <c r="B75" s="219" t="str">
        <f>IF('Biogas-to-RNG'!B49=0, " ",'Biogas-to-RNG'!B49)</f>
        <v xml:space="preserve"> </v>
      </c>
      <c r="C75" s="251"/>
      <c r="D75" s="251"/>
      <c r="E75" s="212"/>
      <c r="F75" s="832"/>
      <c r="G75" s="840"/>
      <c r="H75" s="865"/>
      <c r="I75" s="836">
        <f>((D75*E75+C75)*F75)*0.0423*0.000454+G75*H75*Reference!$E$16/(10^6)</f>
        <v>0</v>
      </c>
    </row>
    <row r="76" spans="2:9" ht="18" customHeight="1">
      <c r="B76" s="219" t="str">
        <f>IF('Biogas-to-RNG'!B50=0, " ",'Biogas-to-RNG'!B50)</f>
        <v xml:space="preserve"> </v>
      </c>
      <c r="C76" s="251"/>
      <c r="D76" s="251"/>
      <c r="E76" s="212"/>
      <c r="F76" s="832"/>
      <c r="G76" s="840"/>
      <c r="H76" s="865"/>
      <c r="I76" s="836">
        <f>((D76*E76+C76)*F76)*0.0423*0.000454+G76*H76*Reference!$E$16/(10^6)</f>
        <v>0</v>
      </c>
    </row>
    <row r="77" spans="2:9" ht="18" customHeight="1">
      <c r="B77" s="219" t="str">
        <f>IF('Biogas-to-RNG'!B51=0, " ",'Biogas-to-RNG'!B51)</f>
        <v xml:space="preserve"> </v>
      </c>
      <c r="C77" s="251"/>
      <c r="D77" s="251"/>
      <c r="E77" s="212"/>
      <c r="F77" s="832"/>
      <c r="G77" s="840"/>
      <c r="H77" s="865"/>
      <c r="I77" s="836">
        <f>((D77*E77+C77)*F77)*0.0423*0.000454+G77*H77*Reference!$E$16/(10^6)</f>
        <v>0</v>
      </c>
    </row>
    <row r="78" spans="2:9" ht="16.5" thickBot="1">
      <c r="B78" s="226" t="s">
        <v>237</v>
      </c>
      <c r="C78" s="252"/>
      <c r="D78" s="252"/>
      <c r="E78" s="252"/>
      <c r="F78" s="833"/>
      <c r="G78" s="841"/>
      <c r="H78" s="833"/>
      <c r="I78" s="837">
        <f>SUM(I54:I77)</f>
        <v>0</v>
      </c>
    </row>
    <row r="80" spans="2:9" ht="15.75" thickBot="1"/>
    <row r="81" spans="2:11" ht="26.1" customHeight="1" thickBot="1">
      <c r="B81" s="930" t="s">
        <v>264</v>
      </c>
      <c r="C81" s="931"/>
      <c r="D81" s="931"/>
      <c r="E81" s="931"/>
      <c r="F81" s="931"/>
      <c r="G81" s="931"/>
      <c r="H81" s="931"/>
      <c r="I81" s="931"/>
      <c r="J81" s="931"/>
      <c r="K81" s="932"/>
    </row>
    <row r="82" spans="2:11" ht="87.6" customHeight="1">
      <c r="B82" s="253" t="s">
        <v>265</v>
      </c>
      <c r="C82" s="883" t="s">
        <v>266</v>
      </c>
      <c r="D82" s="883" t="s">
        <v>267</v>
      </c>
      <c r="E82" s="883" t="s">
        <v>268</v>
      </c>
      <c r="F82" s="883" t="s">
        <v>269</v>
      </c>
      <c r="G82" s="883" t="s">
        <v>270</v>
      </c>
      <c r="H82" s="883" t="s">
        <v>271</v>
      </c>
      <c r="I82" s="883" t="s">
        <v>272</v>
      </c>
      <c r="J82" s="883" t="s">
        <v>273</v>
      </c>
      <c r="K82" s="250" t="s">
        <v>274</v>
      </c>
    </row>
    <row r="83" spans="2:11" ht="38.25">
      <c r="B83" s="254" t="s">
        <v>275</v>
      </c>
      <c r="C83" s="208" t="s">
        <v>192</v>
      </c>
      <c r="D83" s="208" t="s">
        <v>276</v>
      </c>
      <c r="E83" s="208" t="s">
        <v>277</v>
      </c>
      <c r="F83" s="208" t="s">
        <v>278</v>
      </c>
      <c r="G83" s="208" t="s">
        <v>68</v>
      </c>
      <c r="H83" s="208" t="s">
        <v>279</v>
      </c>
      <c r="I83" s="208" t="s">
        <v>280</v>
      </c>
      <c r="J83" s="208" t="s">
        <v>281</v>
      </c>
      <c r="K83" s="255" t="s">
        <v>282</v>
      </c>
    </row>
    <row r="84" spans="2:11" ht="18" customHeight="1">
      <c r="B84" s="256" t="str">
        <f>B7</f>
        <v>-</v>
      </c>
      <c r="C84" s="257">
        <f>IFERROR(IF(B7="-", 0, SUMPRODUCT(D9:D32,F9:F32)/SUM(F9:F32)),0)</f>
        <v>0</v>
      </c>
      <c r="D84" s="258">
        <f>B20</f>
        <v>0</v>
      </c>
      <c r="E84" s="884">
        <f>B16</f>
        <v>0</v>
      </c>
      <c r="F84" s="212"/>
      <c r="G84" s="259"/>
      <c r="H84" s="884">
        <f>C84*D84*E84*F84*(1-G84)*0.3</f>
        <v>0</v>
      </c>
      <c r="I84" s="937">
        <f>SUM(F9:F32)</f>
        <v>0</v>
      </c>
      <c r="J84" s="937" t="str">
        <f>IFERROR(HLOOKUP('Biogas-to-RNG'!F20,Reference!A168:T174,7,FALSE),"")</f>
        <v/>
      </c>
      <c r="K84" s="939" t="str">
        <f>IFERROR(SUM(H84:H89)*I84*0.68*J84*0.001,"")</f>
        <v/>
      </c>
    </row>
    <row r="85" spans="2:11" ht="18" customHeight="1">
      <c r="B85" s="256" t="str">
        <f>P7</f>
        <v>-</v>
      </c>
      <c r="C85" s="257">
        <f>IFERROR(IF(P7="-", 0, SUMPRODUCT(R9:R32,T9:T32)/SUM(T9:T32)),0)</f>
        <v>0</v>
      </c>
      <c r="D85" s="258">
        <f>P20</f>
        <v>0</v>
      </c>
      <c r="E85" s="884">
        <f>P16</f>
        <v>0</v>
      </c>
      <c r="F85" s="212"/>
      <c r="G85" s="259"/>
      <c r="H85" s="884">
        <f t="shared" ref="H85:H89" si="45">C85*D85*E85*F85*(1-G85)*0.3</f>
        <v>0</v>
      </c>
      <c r="I85" s="937"/>
      <c r="J85" s="937"/>
      <c r="K85" s="939"/>
    </row>
    <row r="86" spans="2:11" ht="18" customHeight="1">
      <c r="B86" s="256" t="str">
        <f>AD7</f>
        <v>-</v>
      </c>
      <c r="C86" s="257">
        <f>IFERROR(IF(AD7="-", 0, SUMPRODUCT(AF9:AF32,AH9:AH32)/SUM(AH9:AH32)),0)</f>
        <v>0</v>
      </c>
      <c r="D86" s="258">
        <f>AD20</f>
        <v>0</v>
      </c>
      <c r="E86" s="884">
        <f>AD16</f>
        <v>0</v>
      </c>
      <c r="F86" s="212"/>
      <c r="G86" s="259"/>
      <c r="H86" s="884">
        <f t="shared" si="45"/>
        <v>0</v>
      </c>
      <c r="I86" s="937"/>
      <c r="J86" s="937"/>
      <c r="K86" s="939"/>
    </row>
    <row r="87" spans="2:11" ht="18" customHeight="1">
      <c r="B87" s="256" t="str">
        <f>AR7</f>
        <v>-</v>
      </c>
      <c r="C87" s="257">
        <f>IFERROR(IF(AR7="-", 0, SUMPRODUCT(AT9:AT32,AV9:AV32)/SUM(AV9:AV32)),0)</f>
        <v>0</v>
      </c>
      <c r="D87" s="258">
        <f>AR20</f>
        <v>0</v>
      </c>
      <c r="E87" s="884">
        <f>AR16</f>
        <v>0</v>
      </c>
      <c r="F87" s="212"/>
      <c r="G87" s="259"/>
      <c r="H87" s="884">
        <f t="shared" si="45"/>
        <v>0</v>
      </c>
      <c r="I87" s="937"/>
      <c r="J87" s="937"/>
      <c r="K87" s="939"/>
    </row>
    <row r="88" spans="2:11" ht="18" customHeight="1">
      <c r="B88" s="256" t="str">
        <f>BF7</f>
        <v>-</v>
      </c>
      <c r="C88" s="257">
        <f>IFERROR(IF(BF7="-", 0, SUMPRODUCT(BH9:BH32,BJ9:BJ32)/SUM(BJ9:BJ32)),0)</f>
        <v>0</v>
      </c>
      <c r="D88" s="258">
        <f>BF20</f>
        <v>0</v>
      </c>
      <c r="E88" s="884">
        <f>BF16</f>
        <v>0</v>
      </c>
      <c r="F88" s="212"/>
      <c r="G88" s="259"/>
      <c r="H88" s="884">
        <f t="shared" si="45"/>
        <v>0</v>
      </c>
      <c r="I88" s="937"/>
      <c r="J88" s="937"/>
      <c r="K88" s="939"/>
    </row>
    <row r="89" spans="2:11" ht="18" customHeight="1" thickBot="1">
      <c r="B89" s="260" t="str">
        <f>BT7</f>
        <v>-</v>
      </c>
      <c r="C89" s="261">
        <f>IFERROR(IF(BT7="-", 0, SUMPRODUCT(BV9:BV32,BX9:BX32)/SUM(BX9:BX32)),0)</f>
        <v>0</v>
      </c>
      <c r="D89" s="245">
        <f>BT20</f>
        <v>0</v>
      </c>
      <c r="E89" s="885">
        <f>BT16</f>
        <v>0</v>
      </c>
      <c r="F89" s="262"/>
      <c r="G89" s="263"/>
      <c r="H89" s="885">
        <f t="shared" si="45"/>
        <v>0</v>
      </c>
      <c r="I89" s="938"/>
      <c r="J89" s="938"/>
      <c r="K89" s="940"/>
    </row>
    <row r="91" spans="2:11" ht="15.75" thickBot="1"/>
    <row r="92" spans="2:11" ht="29.1" customHeight="1" thickBot="1">
      <c r="B92" s="930" t="s">
        <v>283</v>
      </c>
      <c r="C92" s="931"/>
      <c r="D92" s="931"/>
      <c r="E92" s="931"/>
      <c r="F92" s="931"/>
      <c r="G92" s="931"/>
      <c r="H92" s="931"/>
      <c r="I92" s="932"/>
    </row>
    <row r="93" spans="2:11" ht="50.25">
      <c r="B93" s="232"/>
      <c r="C93" s="883" t="s">
        <v>284</v>
      </c>
      <c r="D93" s="933" t="s">
        <v>285</v>
      </c>
      <c r="E93" s="934"/>
      <c r="F93" s="934"/>
      <c r="G93" s="934"/>
      <c r="H93" s="934"/>
      <c r="I93" s="935"/>
      <c r="J93" s="233"/>
    </row>
    <row r="94" spans="2:11" ht="36" customHeight="1">
      <c r="B94" s="206" t="s">
        <v>241</v>
      </c>
      <c r="C94" s="235"/>
      <c r="D94" s="236" t="str">
        <f>$B$7</f>
        <v>-</v>
      </c>
      <c r="E94" s="236" t="str">
        <f>$P$7</f>
        <v>-</v>
      </c>
      <c r="F94" s="236" t="str">
        <f>$AD$7</f>
        <v>-</v>
      </c>
      <c r="G94" s="236" t="str">
        <f>$AR$7</f>
        <v>-</v>
      </c>
      <c r="H94" s="236" t="str">
        <f>$BF$7</f>
        <v>-</v>
      </c>
      <c r="I94" s="237" t="str">
        <f>$BT$7</f>
        <v>-</v>
      </c>
      <c r="J94" s="233"/>
    </row>
    <row r="95" spans="2:11" ht="38.1" customHeight="1">
      <c r="B95" s="206" t="s">
        <v>286</v>
      </c>
      <c r="C95" s="238"/>
      <c r="D95" s="239"/>
      <c r="E95" s="239"/>
      <c r="F95" s="239"/>
      <c r="G95" s="239"/>
      <c r="H95" s="239"/>
      <c r="I95" s="240"/>
      <c r="J95" s="233"/>
    </row>
    <row r="96" spans="2:11" ht="18" customHeight="1">
      <c r="B96" s="241" t="s">
        <v>243</v>
      </c>
      <c r="C96" s="884">
        <f>IFERROR(IF(B96&gt;0, VLOOKUP(B96, Reference!$A$168:$T$184, MATCH('Biogas-to-RNG'!$F$20, Reference!$A$168:$T$168), FALSE),0),0)</f>
        <v>0</v>
      </c>
      <c r="D96" s="212"/>
      <c r="E96" s="212"/>
      <c r="F96" s="212"/>
      <c r="G96" s="212"/>
      <c r="H96" s="212"/>
      <c r="I96" s="264"/>
      <c r="J96" s="233"/>
    </row>
    <row r="97" spans="2:10" ht="18" customHeight="1">
      <c r="B97" s="241" t="s">
        <v>243</v>
      </c>
      <c r="C97" s="884">
        <f>IFERROR(IF(B97&gt;0, VLOOKUP(B97, Reference!$A$168:$T$184, MATCH('Biogas-to-RNG'!$F$20, Reference!$A$168:$T$168), FALSE),0),0)</f>
        <v>0</v>
      </c>
      <c r="D97" s="212"/>
      <c r="E97" s="212"/>
      <c r="F97" s="212"/>
      <c r="G97" s="212"/>
      <c r="H97" s="212"/>
      <c r="I97" s="264"/>
      <c r="J97" s="233"/>
    </row>
    <row r="98" spans="2:10" ht="18" customHeight="1">
      <c r="B98" s="241" t="s">
        <v>243</v>
      </c>
      <c r="C98" s="884">
        <f>IFERROR(IF(B98&gt;0, VLOOKUP(B98, Reference!$A$168:$T$184, MATCH('Biogas-to-RNG'!$F$20, Reference!$A$168:$T$168), FALSE),0),0)</f>
        <v>0</v>
      </c>
      <c r="D98" s="212"/>
      <c r="E98" s="212"/>
      <c r="F98" s="212"/>
      <c r="G98" s="212"/>
      <c r="H98" s="212"/>
      <c r="I98" s="264"/>
      <c r="J98" s="233"/>
    </row>
    <row r="99" spans="2:10" ht="18" customHeight="1">
      <c r="B99" s="241" t="s">
        <v>243</v>
      </c>
      <c r="C99" s="884">
        <f>IFERROR(IF(B99&gt;0, VLOOKUP(B99, Reference!$A$168:$T$184, MATCH('Biogas-to-RNG'!$F$20, Reference!$A$168:$T$168), FALSE),0),0)</f>
        <v>0</v>
      </c>
      <c r="D99" s="212"/>
      <c r="E99" s="212"/>
      <c r="F99" s="212"/>
      <c r="G99" s="212"/>
      <c r="H99" s="212"/>
      <c r="I99" s="264"/>
      <c r="J99" s="233"/>
    </row>
    <row r="100" spans="2:10" ht="18" customHeight="1">
      <c r="B100" s="241" t="s">
        <v>243</v>
      </c>
      <c r="C100" s="884">
        <f>IFERROR(IF(B100&gt;0, VLOOKUP(B100, Reference!$A$168:$T$184, MATCH('Biogas-to-RNG'!$F$20, Reference!$A$168:$T$168), FALSE),0),0)</f>
        <v>0</v>
      </c>
      <c r="D100" s="212"/>
      <c r="E100" s="212"/>
      <c r="F100" s="212"/>
      <c r="G100" s="212"/>
      <c r="H100" s="212"/>
      <c r="I100" s="264"/>
      <c r="J100" s="233"/>
    </row>
    <row r="101" spans="2:10" ht="33.950000000000003" customHeight="1">
      <c r="B101" s="206" t="s">
        <v>287</v>
      </c>
      <c r="C101" s="238"/>
      <c r="D101" s="239"/>
      <c r="E101" s="239"/>
      <c r="F101" s="239"/>
      <c r="G101" s="239"/>
      <c r="H101" s="239"/>
      <c r="I101" s="240"/>
      <c r="J101" s="233"/>
    </row>
    <row r="102" spans="2:10" ht="18" customHeight="1">
      <c r="B102" s="241" t="s">
        <v>243</v>
      </c>
      <c r="C102" s="884">
        <f>IFERROR(IF(B102&gt;0, VLOOKUP(B102, Reference!$A$168:$T$184, MATCH('Biogas-to-RNG'!$F$20, Reference!$A$168:$T$168), FALSE),0),0)</f>
        <v>0</v>
      </c>
      <c r="D102" s="242"/>
      <c r="E102" s="242"/>
      <c r="F102" s="242"/>
      <c r="G102" s="242"/>
      <c r="H102" s="242"/>
      <c r="I102" s="243"/>
      <c r="J102" s="233"/>
    </row>
    <row r="103" spans="2:10" ht="18" customHeight="1">
      <c r="B103" s="241" t="s">
        <v>243</v>
      </c>
      <c r="C103" s="884">
        <f>IFERROR(IF(B103&gt;0, VLOOKUP(B103, Reference!$A$168:$T$184, MATCH('Biogas-to-RNG'!$F$20, Reference!$A$168:$T$168), FALSE),0),0)</f>
        <v>0</v>
      </c>
      <c r="D103" s="242"/>
      <c r="E103" s="242"/>
      <c r="F103" s="242"/>
      <c r="G103" s="242"/>
      <c r="H103" s="242"/>
      <c r="I103" s="243"/>
      <c r="J103" s="233"/>
    </row>
    <row r="104" spans="2:10" ht="18" customHeight="1">
      <c r="B104" s="241" t="s">
        <v>243</v>
      </c>
      <c r="C104" s="884">
        <f>IFERROR(IF(B104&gt;0, VLOOKUP(B104, Reference!$A$168:$T$184, MATCH('Biogas-to-RNG'!$F$20, Reference!$A$168:$T$168), FALSE),0),0)</f>
        <v>0</v>
      </c>
      <c r="D104" s="242"/>
      <c r="E104" s="242"/>
      <c r="F104" s="242"/>
      <c r="G104" s="242"/>
      <c r="H104" s="242"/>
      <c r="I104" s="243"/>
      <c r="J104" s="233"/>
    </row>
    <row r="105" spans="2:10" ht="18" customHeight="1">
      <c r="B105" s="241" t="s">
        <v>243</v>
      </c>
      <c r="C105" s="884">
        <f>IFERROR(IF(B105&gt;0, VLOOKUP(B105, Reference!$A$168:$T$184, MATCH('Biogas-to-RNG'!$F$20, Reference!$A$168:$T$168), FALSE),0),0)</f>
        <v>0</v>
      </c>
      <c r="D105" s="242"/>
      <c r="E105" s="242"/>
      <c r="F105" s="242"/>
      <c r="G105" s="242"/>
      <c r="H105" s="242"/>
      <c r="I105" s="243"/>
      <c r="J105" s="233"/>
    </row>
    <row r="106" spans="2:10" ht="18" customHeight="1">
      <c r="B106" s="241" t="s">
        <v>243</v>
      </c>
      <c r="C106" s="884">
        <f>IFERROR(IF(B106&gt;0, VLOOKUP(B106, Reference!$A$168:$T$184, MATCH('Biogas-to-RNG'!$F$20, Reference!$A$168:$T$168), FALSE),0),0)</f>
        <v>0</v>
      </c>
      <c r="D106" s="242"/>
      <c r="E106" s="242"/>
      <c r="F106" s="242"/>
      <c r="G106" s="242"/>
      <c r="H106" s="242"/>
      <c r="I106" s="243"/>
      <c r="J106" s="233"/>
    </row>
    <row r="107" spans="2:10" ht="54.6" customHeight="1">
      <c r="B107" s="206" t="s">
        <v>288</v>
      </c>
      <c r="C107" s="842"/>
      <c r="D107" s="258">
        <f>($D$84*$E$84*$I$84*0.68)*SUMPRODUCT($C$96:$C$106,D96:D106)</f>
        <v>0</v>
      </c>
      <c r="E107" s="258">
        <f>($D$85*$E$85*$I$84*0.68)*SUMPRODUCT($C$96:$C$106,E96:E106)</f>
        <v>0</v>
      </c>
      <c r="F107" s="258">
        <f>($D$86*$E$86*$I$84*0.68)*SUMPRODUCT($C$96:$C$106,F96:F106)</f>
        <v>0</v>
      </c>
      <c r="G107" s="258">
        <f>($D$87*$E$87*$I$84*0.68)*SUMPRODUCT($C$96:$C$106,G96:G106)</f>
        <v>0</v>
      </c>
      <c r="H107" s="258">
        <f>($D$88*$E$88*$I$84*0.68)*SUMPRODUCT($C$96:$C$106,H96:H106)</f>
        <v>0</v>
      </c>
      <c r="I107" s="886">
        <f>($D$89*$E$89*$I$84*0.68)*SUMPRODUCT($C$96:$C$106,I96:I106)</f>
        <v>0</v>
      </c>
      <c r="J107" s="244" t="s">
        <v>289</v>
      </c>
    </row>
    <row r="108" spans="2:10" ht="54.95" customHeight="1" thickBot="1">
      <c r="B108" s="265" t="s">
        <v>290</v>
      </c>
      <c r="C108" s="843"/>
      <c r="D108" s="245">
        <f>D107*$C$84*0.001</f>
        <v>0</v>
      </c>
      <c r="E108" s="245">
        <f>E107*$C$85*0.001</f>
        <v>0</v>
      </c>
      <c r="F108" s="245">
        <f>F107*$C$86*0.001</f>
        <v>0</v>
      </c>
      <c r="G108" s="245">
        <f>G107*$C$87*0.001</f>
        <v>0</v>
      </c>
      <c r="H108" s="245">
        <f>H107*$C$88*0.001</f>
        <v>0</v>
      </c>
      <c r="I108" s="887">
        <f>I107*$C$89*0.001</f>
        <v>0</v>
      </c>
      <c r="J108" s="248">
        <f>SUM(D108:I108)</f>
        <v>0</v>
      </c>
    </row>
  </sheetData>
  <mergeCells count="14">
    <mergeCell ref="B92:I92"/>
    <mergeCell ref="D93:I93"/>
    <mergeCell ref="C2:H2"/>
    <mergeCell ref="B36:I36"/>
    <mergeCell ref="D37:I37"/>
    <mergeCell ref="B81:K81"/>
    <mergeCell ref="I84:I89"/>
    <mergeCell ref="J84:J89"/>
    <mergeCell ref="K84:K89"/>
    <mergeCell ref="B50:I50"/>
    <mergeCell ref="B51:B52"/>
    <mergeCell ref="C51:F51"/>
    <mergeCell ref="G51:H51"/>
    <mergeCell ref="I51:I52"/>
  </mergeCells>
  <dataValidations count="4">
    <dataValidation type="list" allowBlank="1" showInputMessage="1" showErrorMessage="1" sqref="B9" xr:uid="{A6AD81A1-357A-476A-BFD8-893EA9F92BC7}">
      <formula1>"12, 24, -"</formula1>
    </dataValidation>
    <dataValidation type="list" allowBlank="1" showInputMessage="1" showErrorMessage="1" sqref="CC9:CC32 K9:K32 Y9:Y32 AM9:AM32 BA9:BA32 BO9:BO32" xr:uid="{12B3E30C-61E2-40EF-950E-D8EBD90D6F65}">
      <formula1>"Retention Time Less than 30 Days, System Emptied in This Month, Not Applicable"</formula1>
    </dataValidation>
    <dataValidation allowBlank="1" showInputMessage="1" showErrorMessage="1" prompt="Enter the solids carried over from the month prior to the first reporting month in Section L1. To be conservative, it can be entered as zero." sqref="CD9 BP9 BB9 AN9 Z9" xr:uid="{85F0CDDA-5C8E-45EB-83DC-A93EC51FA846}"/>
    <dataValidation allowBlank="1" showInputMessage="1" showErrorMessage="1" prompt="If this is the first year of the project, enter zero, otherwise enter the solids carried over from December of the previous year" sqref="L9" xr:uid="{5F5050C7-4666-4B18-A92F-5D3B19CD96AE}"/>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97B7FC7F-4D38-44F6-8DD7-4BE60A0265E5}">
          <x14:formula1>
            <xm:f>Reference!$A$212:$A$227</xm:f>
          </x14:formula1>
          <xm:sqref>B40:B46 B102:B106 B96:B100</xm:sqref>
        </x14:dataValidation>
        <x14:dataValidation type="list" allowBlank="1" showDropDown="1" showInputMessage="1" showErrorMessage="1" xr:uid="{C16440B0-4840-46D4-B489-0501D7F81E45}">
          <x14:formula1>
            <xm:f>Reference!$A$80:$A$80</xm:f>
          </x14:formula1>
          <xm:sqref>AD9 AR9 BF9 BT9</xm:sqref>
        </x14:dataValidation>
        <x14:dataValidation type="list" showDropDown="1" showInputMessage="1" showErrorMessage="1" xr:uid="{A0703C60-5CD5-4F34-A7A7-529E19541AF2}">
          <x14:formula1>
            <xm:f>Reference!$A$80:$A$80</xm:f>
          </x14:formula1>
          <xm:sqref>P9</xm:sqref>
        </x14:dataValidation>
        <x14:dataValidation type="list" allowBlank="1" showInputMessage="1" showErrorMessage="1" xr:uid="{3EBAD3C4-38DC-4BDE-AAB1-4C486C8CDA6E}">
          <x14:formula1>
            <xm:f>Reference!$A$94:$A$104</xm:f>
          </x14:formula1>
          <xm:sqref>BT7 B7 BF7 AD7 AR7 P7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C1A7F-32D7-4174-8E73-2AE9D9E9190A}">
  <sheetPr codeName="Avoided_Emissions">
    <tabColor rgb="FF31A6B3"/>
  </sheetPr>
  <dimension ref="B1:J59"/>
  <sheetViews>
    <sheetView showGridLines="0" zoomScaleNormal="100" workbookViewId="0">
      <selection activeCell="G51" sqref="G51"/>
    </sheetView>
  </sheetViews>
  <sheetFormatPr defaultRowHeight="15"/>
  <cols>
    <col min="2" max="2" width="32.5703125" customWidth="1"/>
    <col min="3" max="3" width="23.5703125" customWidth="1"/>
    <col min="4" max="4" width="22.140625" customWidth="1"/>
    <col min="5" max="5" width="19.5703125" customWidth="1"/>
    <col min="6" max="6" width="21.7109375" customWidth="1"/>
    <col min="7" max="7" width="23.85546875" customWidth="1"/>
    <col min="8" max="8" width="27.28515625" customWidth="1"/>
    <col min="9" max="9" width="18.42578125" customWidth="1"/>
    <col min="10" max="10" width="49.28515625" customWidth="1"/>
  </cols>
  <sheetData>
    <row r="1" spans="2:7" ht="75.95" customHeight="1">
      <c r="B1" s="266"/>
      <c r="C1" s="267" t="s">
        <v>291</v>
      </c>
    </row>
    <row r="2" spans="2:7" ht="19.5" thickBot="1">
      <c r="B2" s="268"/>
    </row>
    <row r="3" spans="2:7" ht="24.75" customHeight="1" thickBot="1">
      <c r="B3" s="949" t="s">
        <v>292</v>
      </c>
      <c r="C3" s="950"/>
      <c r="D3" s="950"/>
      <c r="E3" s="950"/>
      <c r="F3" s="950"/>
      <c r="G3" s="951"/>
    </row>
    <row r="4" spans="2:7" ht="36" customHeight="1" thickBot="1">
      <c r="B4" s="269" t="s">
        <v>293</v>
      </c>
      <c r="C4" s="270" t="s">
        <v>294</v>
      </c>
      <c r="D4" s="271"/>
      <c r="E4" s="271"/>
      <c r="F4" s="271"/>
      <c r="G4" s="272"/>
    </row>
    <row r="5" spans="2:7" ht="21" customHeight="1">
      <c r="B5" s="952" t="s">
        <v>295</v>
      </c>
      <c r="C5" s="954" t="s">
        <v>296</v>
      </c>
      <c r="D5" s="956" t="s">
        <v>297</v>
      </c>
      <c r="E5" s="957"/>
      <c r="F5" s="957"/>
      <c r="G5" s="958"/>
    </row>
    <row r="6" spans="2:7" ht="50.25">
      <c r="B6" s="953"/>
      <c r="C6" s="955"/>
      <c r="D6" s="208" t="s">
        <v>298</v>
      </c>
      <c r="E6" s="208" t="s">
        <v>299</v>
      </c>
      <c r="F6" s="208" t="s">
        <v>300</v>
      </c>
      <c r="G6" s="255" t="s">
        <v>301</v>
      </c>
    </row>
    <row r="7" spans="2:7" ht="22.5" customHeight="1">
      <c r="B7" s="273"/>
      <c r="C7" s="274" t="s">
        <v>302</v>
      </c>
      <c r="D7" s="892" t="s">
        <v>302</v>
      </c>
      <c r="E7" s="892" t="s">
        <v>302</v>
      </c>
      <c r="F7" s="892" t="s">
        <v>302</v>
      </c>
      <c r="G7" s="204" t="s">
        <v>302</v>
      </c>
    </row>
    <row r="8" spans="2:7" ht="15.75">
      <c r="B8" s="219" t="str">
        <f>IF('Manure-to-Biogas (LOP Inputs)'!C9=0, " ", 'Manure-to-Biogas (LOP Inputs)'!C9)</f>
        <v xml:space="preserve"> </v>
      </c>
      <c r="C8" s="275">
        <f>'Manure-to-Biogas (LOP Inputs)'!N9+'Manure-to-Biogas (LOP Inputs)'!AB9+'Manure-to-Biogas (LOP Inputs)'!AP9+'Manure-to-Biogas (LOP Inputs)'!BD9+'Manure-to-Biogas (LOP Inputs)'!BR9+'Manure-to-Biogas (LOP Inputs)'!CF9</f>
        <v>0</v>
      </c>
      <c r="D8" s="275">
        <f>'Manure-to-Biogas (LOP Inputs)'!I54</f>
        <v>0</v>
      </c>
      <c r="E8" s="959"/>
      <c r="F8" s="962"/>
      <c r="G8" s="276">
        <f>(('Biogas-to-RNG'!C28*'Biogas-to-RNG'!D28)*Reference!$E$16/(10^6)/(IF('Avoided Emissions'!$C$4="Covered Lagoon",(100%-Reference!$D$107),(100%-Reference!$D$109))))-('Biogas-to-RNG'!C28*'Biogas-to-RNG'!D28*Reference!$E$16/10^6)</f>
        <v>0</v>
      </c>
    </row>
    <row r="9" spans="2:7" ht="15.75">
      <c r="B9" s="219" t="str">
        <f>IF('Manure-to-Biogas (LOP Inputs)'!C10=0, " ", 'Manure-to-Biogas (LOP Inputs)'!C10)</f>
        <v xml:space="preserve"> </v>
      </c>
      <c r="C9" s="275">
        <f>'Manure-to-Biogas (LOP Inputs)'!N10+'Manure-to-Biogas (LOP Inputs)'!AB10+'Manure-to-Biogas (LOP Inputs)'!AP10+'Manure-to-Biogas (LOP Inputs)'!BD10+'Manure-to-Biogas (LOP Inputs)'!BR10+'Manure-to-Biogas (LOP Inputs)'!CF10</f>
        <v>0</v>
      </c>
      <c r="D9" s="275">
        <f>'Manure-to-Biogas (LOP Inputs)'!I55</f>
        <v>0</v>
      </c>
      <c r="E9" s="960"/>
      <c r="F9" s="963"/>
      <c r="G9" s="276">
        <f>(('Biogas-to-RNG'!C29*'Biogas-to-RNG'!D29)*Reference!$E$16/(10^6)/(IF('Avoided Emissions'!$C$4="Covered Lagoon",(100%-Reference!$D$107),(100%-Reference!$D$109))))-('Biogas-to-RNG'!C29*'Biogas-to-RNG'!D29*Reference!$E$16/10^6)</f>
        <v>0</v>
      </c>
    </row>
    <row r="10" spans="2:7" ht="15.75">
      <c r="B10" s="219" t="str">
        <f>IF('Manure-to-Biogas (LOP Inputs)'!C11=0, " ", 'Manure-to-Biogas (LOP Inputs)'!C11)</f>
        <v xml:space="preserve"> </v>
      </c>
      <c r="C10" s="275">
        <f>'Manure-to-Biogas (LOP Inputs)'!N11+'Manure-to-Biogas (LOP Inputs)'!AB11+'Manure-to-Biogas (LOP Inputs)'!AP11+'Manure-to-Biogas (LOP Inputs)'!BD11+'Manure-to-Biogas (LOP Inputs)'!BR11+'Manure-to-Biogas (LOP Inputs)'!CF11</f>
        <v>0</v>
      </c>
      <c r="D10" s="275">
        <f>'Manure-to-Biogas (LOP Inputs)'!I56</f>
        <v>0</v>
      </c>
      <c r="E10" s="960"/>
      <c r="F10" s="963"/>
      <c r="G10" s="276">
        <f>(('Biogas-to-RNG'!C30*'Biogas-to-RNG'!D30)*Reference!$E$16/(10^6)/(IF('Avoided Emissions'!$C$4="Covered Lagoon",(100%-Reference!$D$107),(100%-Reference!$D$109))))-('Biogas-to-RNG'!C30*'Biogas-to-RNG'!D30*Reference!$E$16/10^6)</f>
        <v>0</v>
      </c>
    </row>
    <row r="11" spans="2:7" ht="15.75">
      <c r="B11" s="219" t="str">
        <f>IF('Manure-to-Biogas (LOP Inputs)'!C12=0, " ", 'Manure-to-Biogas (LOP Inputs)'!C12)</f>
        <v xml:space="preserve"> </v>
      </c>
      <c r="C11" s="275">
        <f>'Manure-to-Biogas (LOP Inputs)'!N12+'Manure-to-Biogas (LOP Inputs)'!AB12+'Manure-to-Biogas (LOP Inputs)'!AP12+'Manure-to-Biogas (LOP Inputs)'!BD12+'Manure-to-Biogas (LOP Inputs)'!BR12+'Manure-to-Biogas (LOP Inputs)'!CF12</f>
        <v>0</v>
      </c>
      <c r="D11" s="275">
        <f>'Manure-to-Biogas (LOP Inputs)'!I57</f>
        <v>0</v>
      </c>
      <c r="E11" s="960"/>
      <c r="F11" s="963"/>
      <c r="G11" s="276">
        <f>(('Biogas-to-RNG'!C31*'Biogas-to-RNG'!D31)*Reference!$E$16/(10^6)/(IF('Avoided Emissions'!$C$4="Covered Lagoon",(100%-Reference!$D$107),(100%-Reference!$D$109))))-('Biogas-to-RNG'!C31*'Biogas-to-RNG'!D31*Reference!$E$16/10^6)</f>
        <v>0</v>
      </c>
    </row>
    <row r="12" spans="2:7" ht="15.75">
      <c r="B12" s="219" t="str">
        <f>IF('Manure-to-Biogas (LOP Inputs)'!C13=0, " ", 'Manure-to-Biogas (LOP Inputs)'!C13)</f>
        <v xml:space="preserve"> </v>
      </c>
      <c r="C12" s="275">
        <f>'Manure-to-Biogas (LOP Inputs)'!N13+'Manure-to-Biogas (LOP Inputs)'!AB13+'Manure-to-Biogas (LOP Inputs)'!AP13+'Manure-to-Biogas (LOP Inputs)'!BD13+'Manure-to-Biogas (LOP Inputs)'!BR13+'Manure-to-Biogas (LOP Inputs)'!CF13</f>
        <v>0</v>
      </c>
      <c r="D12" s="275">
        <f>'Manure-to-Biogas (LOP Inputs)'!I58</f>
        <v>0</v>
      </c>
      <c r="E12" s="960"/>
      <c r="F12" s="963"/>
      <c r="G12" s="276">
        <f>(('Biogas-to-RNG'!C32*'Biogas-to-RNG'!D32)*Reference!$E$16/(10^6)/(IF('Avoided Emissions'!$C$4="Covered Lagoon",(100%-Reference!$D$107),(100%-Reference!$D$109))))-('Biogas-to-RNG'!C32*'Biogas-to-RNG'!D32*Reference!$E$16/10^6)</f>
        <v>0</v>
      </c>
    </row>
    <row r="13" spans="2:7" ht="15.75">
      <c r="B13" s="219" t="str">
        <f>IF('Manure-to-Biogas (LOP Inputs)'!C14=0, " ", 'Manure-to-Biogas (LOP Inputs)'!C14)</f>
        <v xml:space="preserve"> </v>
      </c>
      <c r="C13" s="275">
        <f>'Manure-to-Biogas (LOP Inputs)'!N14+'Manure-to-Biogas (LOP Inputs)'!AB14+'Manure-to-Biogas (LOP Inputs)'!AP14+'Manure-to-Biogas (LOP Inputs)'!BD14+'Manure-to-Biogas (LOP Inputs)'!BR14+'Manure-to-Biogas (LOP Inputs)'!CF14</f>
        <v>0</v>
      </c>
      <c r="D13" s="275">
        <f>'Manure-to-Biogas (LOP Inputs)'!I59</f>
        <v>0</v>
      </c>
      <c r="E13" s="960"/>
      <c r="F13" s="963"/>
      <c r="G13" s="276">
        <f>(('Biogas-to-RNG'!C33*'Biogas-to-RNG'!D33)*Reference!$E$16/(10^6)/(IF('Avoided Emissions'!$C$4="Covered Lagoon",(100%-Reference!$D$107),(100%-Reference!$D$109))))-('Biogas-to-RNG'!C33*'Biogas-to-RNG'!D33*Reference!$E$16/10^6)</f>
        <v>0</v>
      </c>
    </row>
    <row r="14" spans="2:7" ht="15.75">
      <c r="B14" s="219" t="str">
        <f>IF('Manure-to-Biogas (LOP Inputs)'!C15=0, " ", 'Manure-to-Biogas (LOP Inputs)'!C15)</f>
        <v xml:space="preserve"> </v>
      </c>
      <c r="C14" s="275">
        <f>'Manure-to-Biogas (LOP Inputs)'!N15+'Manure-to-Biogas (LOP Inputs)'!AB15+'Manure-to-Biogas (LOP Inputs)'!AP15+'Manure-to-Biogas (LOP Inputs)'!BD15+'Manure-to-Biogas (LOP Inputs)'!BR15+'Manure-to-Biogas (LOP Inputs)'!CF15</f>
        <v>0</v>
      </c>
      <c r="D14" s="275">
        <f>'Manure-to-Biogas (LOP Inputs)'!I60</f>
        <v>0</v>
      </c>
      <c r="E14" s="960"/>
      <c r="F14" s="963"/>
      <c r="G14" s="276">
        <f>(('Biogas-to-RNG'!C34*'Biogas-to-RNG'!D34)*Reference!$E$16/(10^6)/(IF('Avoided Emissions'!$C$4="Covered Lagoon",(100%-Reference!$D$107),(100%-Reference!$D$109))))-('Biogas-to-RNG'!C34*'Biogas-to-RNG'!D34*Reference!$E$16/10^6)</f>
        <v>0</v>
      </c>
    </row>
    <row r="15" spans="2:7" ht="15.75">
      <c r="B15" s="219" t="str">
        <f>IF('Manure-to-Biogas (LOP Inputs)'!C16=0, " ", 'Manure-to-Biogas (LOP Inputs)'!C16)</f>
        <v xml:space="preserve"> </v>
      </c>
      <c r="C15" s="275">
        <f>'Manure-to-Biogas (LOP Inputs)'!N16+'Manure-to-Biogas (LOP Inputs)'!AB16+'Manure-to-Biogas (LOP Inputs)'!AP16+'Manure-to-Biogas (LOP Inputs)'!BD16+'Manure-to-Biogas (LOP Inputs)'!BR16+'Manure-to-Biogas (LOP Inputs)'!CF16</f>
        <v>0</v>
      </c>
      <c r="D15" s="275">
        <f>'Manure-to-Biogas (LOP Inputs)'!I61</f>
        <v>0</v>
      </c>
      <c r="E15" s="960"/>
      <c r="F15" s="963"/>
      <c r="G15" s="276">
        <f>(('Biogas-to-RNG'!C35*'Biogas-to-RNG'!D35)*Reference!$E$16/(10^6)/(IF('Avoided Emissions'!$C$4="Covered Lagoon",(100%-Reference!$D$107),(100%-Reference!$D$109))))-('Biogas-to-RNG'!C35*'Biogas-to-RNG'!D35*Reference!$E$16/10^6)</f>
        <v>0</v>
      </c>
    </row>
    <row r="16" spans="2:7" ht="15.75">
      <c r="B16" s="219" t="str">
        <f>IF('Manure-to-Biogas (LOP Inputs)'!C17=0, " ", 'Manure-to-Biogas (LOP Inputs)'!C17)</f>
        <v xml:space="preserve"> </v>
      </c>
      <c r="C16" s="275">
        <f>'Manure-to-Biogas (LOP Inputs)'!N17+'Manure-to-Biogas (LOP Inputs)'!AB17+'Manure-to-Biogas (LOP Inputs)'!AP17+'Manure-to-Biogas (LOP Inputs)'!BD17+'Manure-to-Biogas (LOP Inputs)'!BR17+'Manure-to-Biogas (LOP Inputs)'!CF17</f>
        <v>0</v>
      </c>
      <c r="D16" s="275">
        <f>'Manure-to-Biogas (LOP Inputs)'!I62</f>
        <v>0</v>
      </c>
      <c r="E16" s="960"/>
      <c r="F16" s="963"/>
      <c r="G16" s="276">
        <f>(('Biogas-to-RNG'!C36*'Biogas-to-RNG'!D36)*Reference!$E$16/(10^6)/(IF('Avoided Emissions'!$C$4="Covered Lagoon",(100%-Reference!$D$107),(100%-Reference!$D$109))))-('Biogas-to-RNG'!C36*'Biogas-to-RNG'!D36*Reference!$E$16/10^6)</f>
        <v>0</v>
      </c>
    </row>
    <row r="17" spans="2:7" ht="15.75">
      <c r="B17" s="219" t="str">
        <f>IF('Manure-to-Biogas (LOP Inputs)'!C18=0, " ", 'Manure-to-Biogas (LOP Inputs)'!C18)</f>
        <v xml:space="preserve"> </v>
      </c>
      <c r="C17" s="275">
        <f>'Manure-to-Biogas (LOP Inputs)'!N18+'Manure-to-Biogas (LOP Inputs)'!AB18+'Manure-to-Biogas (LOP Inputs)'!AP18+'Manure-to-Biogas (LOP Inputs)'!BD18+'Manure-to-Biogas (LOP Inputs)'!BR18+'Manure-to-Biogas (LOP Inputs)'!CF18</f>
        <v>0</v>
      </c>
      <c r="D17" s="275">
        <f>'Manure-to-Biogas (LOP Inputs)'!I63</f>
        <v>0</v>
      </c>
      <c r="E17" s="960"/>
      <c r="F17" s="963"/>
      <c r="G17" s="276">
        <f>(('Biogas-to-RNG'!C37*'Biogas-to-RNG'!D37)*Reference!$E$16/(10^6)/(IF('Avoided Emissions'!$C$4="Covered Lagoon",(100%-Reference!$D$107),(100%-Reference!$D$109))))-('Biogas-to-RNG'!C37*'Biogas-to-RNG'!D37*Reference!$E$16/10^6)</f>
        <v>0</v>
      </c>
    </row>
    <row r="18" spans="2:7" ht="15.75">
      <c r="B18" s="219" t="str">
        <f>IF('Manure-to-Biogas (LOP Inputs)'!C19=0, " ", 'Manure-to-Biogas (LOP Inputs)'!C19)</f>
        <v xml:space="preserve"> </v>
      </c>
      <c r="C18" s="275">
        <f>'Manure-to-Biogas (LOP Inputs)'!N19+'Manure-to-Biogas (LOP Inputs)'!AB19+'Manure-to-Biogas (LOP Inputs)'!AP19+'Manure-to-Biogas (LOP Inputs)'!BD19+'Manure-to-Biogas (LOP Inputs)'!BR19+'Manure-to-Biogas (LOP Inputs)'!CF19</f>
        <v>0</v>
      </c>
      <c r="D18" s="275">
        <f>'Manure-to-Biogas (LOP Inputs)'!I64</f>
        <v>0</v>
      </c>
      <c r="E18" s="960"/>
      <c r="F18" s="963"/>
      <c r="G18" s="276">
        <f>(('Biogas-to-RNG'!C38*'Biogas-to-RNG'!D38)*Reference!$E$16/(10^6)/(IF('Avoided Emissions'!$C$4="Covered Lagoon",(100%-Reference!$D$107),(100%-Reference!$D$109))))-('Biogas-to-RNG'!C38*'Biogas-to-RNG'!D38*Reference!$E$16/10^6)</f>
        <v>0</v>
      </c>
    </row>
    <row r="19" spans="2:7" ht="15.75">
      <c r="B19" s="219" t="str">
        <f>IF('Manure-to-Biogas (LOP Inputs)'!C20=0, " ", 'Manure-to-Biogas (LOP Inputs)'!C20)</f>
        <v xml:space="preserve"> </v>
      </c>
      <c r="C19" s="275">
        <f>'Manure-to-Biogas (LOP Inputs)'!N20+'Manure-to-Biogas (LOP Inputs)'!AB20+'Manure-to-Biogas (LOP Inputs)'!AP20+'Manure-to-Biogas (LOP Inputs)'!BD20+'Manure-to-Biogas (LOP Inputs)'!BR20+'Manure-to-Biogas (LOP Inputs)'!CF20</f>
        <v>0</v>
      </c>
      <c r="D19" s="275">
        <f>'Manure-to-Biogas (LOP Inputs)'!I65</f>
        <v>0</v>
      </c>
      <c r="E19" s="960"/>
      <c r="F19" s="963"/>
      <c r="G19" s="276">
        <f>(('Biogas-to-RNG'!C39*'Biogas-to-RNG'!D39)*Reference!$E$16/(10^6)/(IF('Avoided Emissions'!$C$4="Covered Lagoon",(100%-Reference!$D$107),(100%-Reference!$D$109))))-('Biogas-to-RNG'!C39*'Biogas-to-RNG'!D39*Reference!$E$16/10^6)</f>
        <v>0</v>
      </c>
    </row>
    <row r="20" spans="2:7" ht="15.75">
      <c r="B20" s="219" t="str">
        <f>IF('Manure-to-Biogas (LOP Inputs)'!C21=0, " ", 'Manure-to-Biogas (LOP Inputs)'!C21)</f>
        <v xml:space="preserve"> </v>
      </c>
      <c r="C20" s="275">
        <f>'Manure-to-Biogas (LOP Inputs)'!N21+'Manure-to-Biogas (LOP Inputs)'!AB21+'Manure-to-Biogas (LOP Inputs)'!AP21+'Manure-to-Biogas (LOP Inputs)'!BD21+'Manure-to-Biogas (LOP Inputs)'!BR21+'Manure-to-Biogas (LOP Inputs)'!CF21</f>
        <v>0</v>
      </c>
      <c r="D20" s="275">
        <f>'Manure-to-Biogas (LOP Inputs)'!I66</f>
        <v>0</v>
      </c>
      <c r="E20" s="960"/>
      <c r="F20" s="963"/>
      <c r="G20" s="276">
        <f>(('Biogas-to-RNG'!C40*'Biogas-to-RNG'!D40)*Reference!$E$16/(10^6)/(IF('Avoided Emissions'!$C$4="Covered Lagoon",(100%-Reference!$D$107),(100%-Reference!$D$109))))-('Biogas-to-RNG'!C40*'Biogas-to-RNG'!D40*Reference!$E$16/10^6)</f>
        <v>0</v>
      </c>
    </row>
    <row r="21" spans="2:7" ht="15.75">
      <c r="B21" s="219" t="str">
        <f>IF('Manure-to-Biogas (LOP Inputs)'!C22=0, " ", 'Manure-to-Biogas (LOP Inputs)'!C22)</f>
        <v xml:space="preserve"> </v>
      </c>
      <c r="C21" s="275">
        <f>'Manure-to-Biogas (LOP Inputs)'!N22+'Manure-to-Biogas (LOP Inputs)'!AB22+'Manure-to-Biogas (LOP Inputs)'!AP22+'Manure-to-Biogas (LOP Inputs)'!BD22+'Manure-to-Biogas (LOP Inputs)'!BR22+'Manure-to-Biogas (LOP Inputs)'!CF22</f>
        <v>0</v>
      </c>
      <c r="D21" s="275">
        <f>'Manure-to-Biogas (LOP Inputs)'!I67</f>
        <v>0</v>
      </c>
      <c r="E21" s="960"/>
      <c r="F21" s="963"/>
      <c r="G21" s="276">
        <f>(('Biogas-to-RNG'!C41*'Biogas-to-RNG'!D41)*Reference!$E$16/(10^6)/(IF('Avoided Emissions'!$C$4="Covered Lagoon",(100%-Reference!$D$107),(100%-Reference!$D$109))))-('Biogas-to-RNG'!C41*'Biogas-to-RNG'!D41*Reference!$E$16/10^6)</f>
        <v>0</v>
      </c>
    </row>
    <row r="22" spans="2:7" ht="15.75">
      <c r="B22" s="219" t="str">
        <f>IF('Manure-to-Biogas (LOP Inputs)'!C23=0, " ", 'Manure-to-Biogas (LOP Inputs)'!C23)</f>
        <v xml:space="preserve"> </v>
      </c>
      <c r="C22" s="275">
        <f>'Manure-to-Biogas (LOP Inputs)'!N23+'Manure-to-Biogas (LOP Inputs)'!AB23+'Manure-to-Biogas (LOP Inputs)'!AP23+'Manure-to-Biogas (LOP Inputs)'!BD23+'Manure-to-Biogas (LOP Inputs)'!BR23+'Manure-to-Biogas (LOP Inputs)'!CF23</f>
        <v>0</v>
      </c>
      <c r="D22" s="275">
        <f>'Manure-to-Biogas (LOP Inputs)'!I68</f>
        <v>0</v>
      </c>
      <c r="E22" s="960"/>
      <c r="F22" s="963"/>
      <c r="G22" s="276">
        <f>(('Biogas-to-RNG'!C42*'Biogas-to-RNG'!D42)*Reference!$E$16/(10^6)/(IF('Avoided Emissions'!$C$4="Covered Lagoon",(100%-Reference!$D$107),(100%-Reference!$D$109))))-('Biogas-to-RNG'!C42*'Biogas-to-RNG'!D42*Reference!$E$16/10^6)</f>
        <v>0</v>
      </c>
    </row>
    <row r="23" spans="2:7" ht="15.75">
      <c r="B23" s="219" t="str">
        <f>IF('Manure-to-Biogas (LOP Inputs)'!C24=0, " ", 'Manure-to-Biogas (LOP Inputs)'!C24)</f>
        <v xml:space="preserve"> </v>
      </c>
      <c r="C23" s="275">
        <f>'Manure-to-Biogas (LOP Inputs)'!N24+'Manure-to-Biogas (LOP Inputs)'!AB24+'Manure-to-Biogas (LOP Inputs)'!AP24+'Manure-to-Biogas (LOP Inputs)'!BD24+'Manure-to-Biogas (LOP Inputs)'!BR24+'Manure-to-Biogas (LOP Inputs)'!CF24</f>
        <v>0</v>
      </c>
      <c r="D23" s="275">
        <f>'Manure-to-Biogas (LOP Inputs)'!I69</f>
        <v>0</v>
      </c>
      <c r="E23" s="960"/>
      <c r="F23" s="963"/>
      <c r="G23" s="276">
        <f>(('Biogas-to-RNG'!C43*'Biogas-to-RNG'!D43)*Reference!$E$16/(10^6)/(IF('Avoided Emissions'!$C$4="Covered Lagoon",(100%-Reference!$D$107),(100%-Reference!$D$109))))-('Biogas-to-RNG'!C43*'Biogas-to-RNG'!D43*Reference!$E$16/10^6)</f>
        <v>0</v>
      </c>
    </row>
    <row r="24" spans="2:7" ht="15.75">
      <c r="B24" s="219" t="str">
        <f>IF('Manure-to-Biogas (LOP Inputs)'!C25=0, " ", 'Manure-to-Biogas (LOP Inputs)'!C25)</f>
        <v xml:space="preserve"> </v>
      </c>
      <c r="C24" s="275">
        <f>'Manure-to-Biogas (LOP Inputs)'!N25+'Manure-to-Biogas (LOP Inputs)'!AB25+'Manure-to-Biogas (LOP Inputs)'!AP25+'Manure-to-Biogas (LOP Inputs)'!BD25+'Manure-to-Biogas (LOP Inputs)'!BR25+'Manure-to-Biogas (LOP Inputs)'!CF25</f>
        <v>0</v>
      </c>
      <c r="D24" s="275">
        <f>'Manure-to-Biogas (LOP Inputs)'!I70</f>
        <v>0</v>
      </c>
      <c r="E24" s="960"/>
      <c r="F24" s="963"/>
      <c r="G24" s="276">
        <f>(('Biogas-to-RNG'!C44*'Biogas-to-RNG'!D44)*Reference!$E$16/(10^6)/(IF('Avoided Emissions'!$C$4="Covered Lagoon",(100%-Reference!$D$107),(100%-Reference!$D$109))))-('Biogas-to-RNG'!C44*'Biogas-to-RNG'!D44*Reference!$E$16/10^6)</f>
        <v>0</v>
      </c>
    </row>
    <row r="25" spans="2:7" ht="15.75">
      <c r="B25" s="219" t="str">
        <f>IF('Manure-to-Biogas (LOP Inputs)'!C26=0, " ", 'Manure-to-Biogas (LOP Inputs)'!C26)</f>
        <v xml:space="preserve"> </v>
      </c>
      <c r="C25" s="275">
        <f>'Manure-to-Biogas (LOP Inputs)'!N26+'Manure-to-Biogas (LOP Inputs)'!AB26+'Manure-to-Biogas (LOP Inputs)'!AP26+'Manure-to-Biogas (LOP Inputs)'!BD26+'Manure-to-Biogas (LOP Inputs)'!BR26+'Manure-to-Biogas (LOP Inputs)'!CF26</f>
        <v>0</v>
      </c>
      <c r="D25" s="275">
        <f>'Manure-to-Biogas (LOP Inputs)'!I71</f>
        <v>0</v>
      </c>
      <c r="E25" s="960"/>
      <c r="F25" s="963"/>
      <c r="G25" s="276">
        <f>(('Biogas-to-RNG'!C45*'Biogas-to-RNG'!D45)*Reference!$E$16/(10^6)/(IF('Avoided Emissions'!$C$4="Covered Lagoon",(100%-Reference!$D$107),(100%-Reference!$D$109))))-('Biogas-to-RNG'!C45*'Biogas-to-RNG'!D45*Reference!$E$16/10^6)</f>
        <v>0</v>
      </c>
    </row>
    <row r="26" spans="2:7" ht="15.75">
      <c r="B26" s="219" t="str">
        <f>IF('Manure-to-Biogas (LOP Inputs)'!C27=0, " ", 'Manure-to-Biogas (LOP Inputs)'!C27)</f>
        <v xml:space="preserve"> </v>
      </c>
      <c r="C26" s="275">
        <f>'Manure-to-Biogas (LOP Inputs)'!N27+'Manure-to-Biogas (LOP Inputs)'!AB27+'Manure-to-Biogas (LOP Inputs)'!AP27+'Manure-to-Biogas (LOP Inputs)'!BD27+'Manure-to-Biogas (LOP Inputs)'!BR27+'Manure-to-Biogas (LOP Inputs)'!CF27</f>
        <v>0</v>
      </c>
      <c r="D26" s="275">
        <f>'Manure-to-Biogas (LOP Inputs)'!I72</f>
        <v>0</v>
      </c>
      <c r="E26" s="960"/>
      <c r="F26" s="963"/>
      <c r="G26" s="276">
        <f>(('Biogas-to-RNG'!C46*'Biogas-to-RNG'!D46)*Reference!$E$16/(10^6)/(IF('Avoided Emissions'!$C$4="Covered Lagoon",(100%-Reference!$D$107),(100%-Reference!$D$109))))-('Biogas-to-RNG'!C46*'Biogas-to-RNG'!D46*Reference!$E$16/10^6)</f>
        <v>0</v>
      </c>
    </row>
    <row r="27" spans="2:7" ht="15.75">
      <c r="B27" s="219" t="str">
        <f>IF('Manure-to-Biogas (LOP Inputs)'!C28=0, " ", 'Manure-to-Biogas (LOP Inputs)'!C28)</f>
        <v xml:space="preserve"> </v>
      </c>
      <c r="C27" s="275">
        <f>'Manure-to-Biogas (LOP Inputs)'!N28+'Manure-to-Biogas (LOP Inputs)'!AB28+'Manure-to-Biogas (LOP Inputs)'!AP28+'Manure-to-Biogas (LOP Inputs)'!BD28+'Manure-to-Biogas (LOP Inputs)'!BR28+'Manure-to-Biogas (LOP Inputs)'!CF28</f>
        <v>0</v>
      </c>
      <c r="D27" s="275">
        <f>'Manure-to-Biogas (LOP Inputs)'!I73</f>
        <v>0</v>
      </c>
      <c r="E27" s="960"/>
      <c r="F27" s="963"/>
      <c r="G27" s="276">
        <f>(('Biogas-to-RNG'!C47*'Biogas-to-RNG'!D47)*Reference!$E$16/(10^6)/(IF('Avoided Emissions'!$C$4="Covered Lagoon",(100%-Reference!$D$107),(100%-Reference!$D$109))))-('Biogas-to-RNG'!C47*'Biogas-to-RNG'!D47*Reference!$E$16/10^6)</f>
        <v>0</v>
      </c>
    </row>
    <row r="28" spans="2:7" ht="15.75">
      <c r="B28" s="219" t="str">
        <f>IF('Manure-to-Biogas (LOP Inputs)'!C29=0, " ", 'Manure-to-Biogas (LOP Inputs)'!C29)</f>
        <v xml:space="preserve"> </v>
      </c>
      <c r="C28" s="275">
        <f>'Manure-to-Biogas (LOP Inputs)'!N29+'Manure-to-Biogas (LOP Inputs)'!AB29+'Manure-to-Biogas (LOP Inputs)'!AP29+'Manure-to-Biogas (LOP Inputs)'!BD29+'Manure-to-Biogas (LOP Inputs)'!BR29+'Manure-to-Biogas (LOP Inputs)'!CF29</f>
        <v>0</v>
      </c>
      <c r="D28" s="275">
        <f>'Manure-to-Biogas (LOP Inputs)'!I74</f>
        <v>0</v>
      </c>
      <c r="E28" s="960"/>
      <c r="F28" s="963"/>
      <c r="G28" s="276">
        <f>(('Biogas-to-RNG'!C48*'Biogas-to-RNG'!D48)*Reference!$E$16/(10^6)/(IF('Avoided Emissions'!$C$4="Covered Lagoon",(100%-Reference!$D$107),(100%-Reference!$D$109))))-('Biogas-to-RNG'!C48*'Biogas-to-RNG'!D48*Reference!$E$16/10^6)</f>
        <v>0</v>
      </c>
    </row>
    <row r="29" spans="2:7" ht="15.75">
      <c r="B29" s="219" t="str">
        <f>IF('Manure-to-Biogas (LOP Inputs)'!C30=0, " ", 'Manure-to-Biogas (LOP Inputs)'!C30)</f>
        <v xml:space="preserve"> </v>
      </c>
      <c r="C29" s="275">
        <f>'Manure-to-Biogas (LOP Inputs)'!N30+'Manure-to-Biogas (LOP Inputs)'!AB30+'Manure-to-Biogas (LOP Inputs)'!AP30+'Manure-to-Biogas (LOP Inputs)'!BD30+'Manure-to-Biogas (LOP Inputs)'!BR30+'Manure-to-Biogas (LOP Inputs)'!CF30</f>
        <v>0</v>
      </c>
      <c r="D29" s="275">
        <f>'Manure-to-Biogas (LOP Inputs)'!I75</f>
        <v>0</v>
      </c>
      <c r="E29" s="960"/>
      <c r="F29" s="963"/>
      <c r="G29" s="276">
        <f>(('Biogas-to-RNG'!C49*'Biogas-to-RNG'!D49)*Reference!$E$16/(10^6)/(IF('Avoided Emissions'!$C$4="Covered Lagoon",(100%-Reference!$D$107),(100%-Reference!$D$109))))-('Biogas-to-RNG'!C49*'Biogas-to-RNG'!D49*Reference!$E$16/10^6)</f>
        <v>0</v>
      </c>
    </row>
    <row r="30" spans="2:7" ht="15.75">
      <c r="B30" s="219" t="str">
        <f>IF('Manure-to-Biogas (LOP Inputs)'!C31=0, " ", 'Manure-to-Biogas (LOP Inputs)'!C31)</f>
        <v xml:space="preserve"> </v>
      </c>
      <c r="C30" s="275">
        <f>'Manure-to-Biogas (LOP Inputs)'!N31+'Manure-to-Biogas (LOP Inputs)'!AB31+'Manure-to-Biogas (LOP Inputs)'!AP31+'Manure-to-Biogas (LOP Inputs)'!BD31+'Manure-to-Biogas (LOP Inputs)'!BR31+'Manure-to-Biogas (LOP Inputs)'!CF31</f>
        <v>0</v>
      </c>
      <c r="D30" s="275">
        <f>'Manure-to-Biogas (LOP Inputs)'!I76</f>
        <v>0</v>
      </c>
      <c r="E30" s="960"/>
      <c r="F30" s="963"/>
      <c r="G30" s="276">
        <f>(('Biogas-to-RNG'!C50*'Biogas-to-RNG'!D50)*Reference!$E$16/(10^6)/(IF('Avoided Emissions'!$C$4="Covered Lagoon",(100%-Reference!$D$107),(100%-Reference!$D$109))))-('Biogas-to-RNG'!C50*'Biogas-to-RNG'!D50*Reference!$E$16/10^6)</f>
        <v>0</v>
      </c>
    </row>
    <row r="31" spans="2:7" ht="15.75">
      <c r="B31" s="219" t="str">
        <f>IF('Manure-to-Biogas (LOP Inputs)'!C32=0, " ", 'Manure-to-Biogas (LOP Inputs)'!C32)</f>
        <v xml:space="preserve"> </v>
      </c>
      <c r="C31" s="275">
        <f>'Manure-to-Biogas (LOP Inputs)'!N32+'Manure-to-Biogas (LOP Inputs)'!AB32+'Manure-to-Biogas (LOP Inputs)'!AP32+'Manure-to-Biogas (LOP Inputs)'!BD32+'Manure-to-Biogas (LOP Inputs)'!BR32+'Manure-to-Biogas (LOP Inputs)'!CF32</f>
        <v>0</v>
      </c>
      <c r="D31" s="275">
        <f>'Manure-to-Biogas (LOP Inputs)'!I77</f>
        <v>0</v>
      </c>
      <c r="E31" s="961"/>
      <c r="F31" s="964"/>
      <c r="G31" s="276">
        <f>(('Biogas-to-RNG'!C51*'Biogas-to-RNG'!D51)*Reference!$E$16/(10^6)/(IF('Avoided Emissions'!$C$4="Covered Lagoon",(100%-Reference!$D$107),(100%-Reference!$D$109))))-('Biogas-to-RNG'!C51*'Biogas-to-RNG'!D51*Reference!$E$16/10^6)</f>
        <v>0</v>
      </c>
    </row>
    <row r="32" spans="2:7" ht="51" customHeight="1" thickBot="1">
      <c r="B32" s="277" t="s">
        <v>303</v>
      </c>
      <c r="C32" s="278">
        <f>IFERROR(SUM(C8:C31)/'Manure-to-Biogas (LOP Inputs)'!B9+'Manure-to-Biogas (LOP Inputs)'!J47/'Manure-to-Biogas (LOP Inputs)'!B9, 0)</f>
        <v>0</v>
      </c>
      <c r="D32" s="278">
        <f>IFERROR(SUM(D8:D31)/'Biogas-to-RNG'!J24,0)</f>
        <v>0</v>
      </c>
      <c r="E32" s="278">
        <f>IFERROR('Manure-to-Biogas (LOP Inputs)'!K84/'Manure-to-Biogas (LOP Inputs)'!B9,0)</f>
        <v>0</v>
      </c>
      <c r="F32" s="278">
        <f>IFERROR('Manure-to-Biogas (LOP Inputs)'!J108/'Manure-to-Biogas (LOP Inputs)'!B9,0)</f>
        <v>0</v>
      </c>
      <c r="G32" s="279">
        <f>IFERROR(SUM(G8:G31)/'Biogas-to-RNG'!J24,0)</f>
        <v>0</v>
      </c>
    </row>
    <row r="33" spans="2:10" ht="15.75">
      <c r="B33" s="233"/>
      <c r="C33" s="233"/>
      <c r="D33" s="233"/>
      <c r="E33" s="233"/>
      <c r="F33" s="233"/>
      <c r="G33" s="233"/>
      <c r="H33" s="233"/>
    </row>
    <row r="34" spans="2:10" ht="16.5" thickBot="1">
      <c r="B34" s="233"/>
      <c r="C34" s="233"/>
      <c r="D34" s="233"/>
      <c r="E34" s="233"/>
      <c r="F34" s="233"/>
      <c r="G34" s="233"/>
      <c r="H34" s="233"/>
    </row>
    <row r="35" spans="2:10" ht="24" customHeight="1">
      <c r="B35" s="971" t="s">
        <v>304</v>
      </c>
      <c r="C35" s="972"/>
      <c r="D35" s="973"/>
      <c r="E35" s="233"/>
      <c r="F35" s="971" t="s">
        <v>305</v>
      </c>
      <c r="G35" s="972"/>
      <c r="H35" s="973"/>
      <c r="I35" s="974"/>
      <c r="J35" s="975"/>
    </row>
    <row r="36" spans="2:10" ht="21.6" customHeight="1">
      <c r="B36" s="280"/>
      <c r="C36" s="281" t="s">
        <v>28</v>
      </c>
      <c r="D36" s="282" t="s">
        <v>306</v>
      </c>
      <c r="E36" s="233"/>
      <c r="F36" s="280"/>
      <c r="G36" s="281" t="s">
        <v>28</v>
      </c>
      <c r="H36" s="282" t="s">
        <v>29</v>
      </c>
      <c r="I36" s="974"/>
      <c r="J36" s="975"/>
    </row>
    <row r="37" spans="2:10" ht="53.25" customHeight="1">
      <c r="B37" s="283" t="s">
        <v>307</v>
      </c>
      <c r="C37" s="284">
        <f>(D32+E32+F32+G32)*'Biogas-to-RNG'!J24</f>
        <v>0</v>
      </c>
      <c r="D37" s="285" t="s">
        <v>308</v>
      </c>
      <c r="E37" s="233"/>
      <c r="F37" s="283" t="s">
        <v>309</v>
      </c>
      <c r="G37" s="286">
        <f>IF((-C38=C40),0,-(C40+C37-C32*'Biogas-to-RNG'!J24)*(44/16))</f>
        <v>0</v>
      </c>
      <c r="H37" s="287" t="s">
        <v>310</v>
      </c>
      <c r="I37" s="974"/>
      <c r="J37" s="975"/>
    </row>
    <row r="38" spans="2:10" ht="51" customHeight="1">
      <c r="B38" s="283" t="s">
        <v>311</v>
      </c>
      <c r="C38" s="286">
        <f>IF((C37-C32*'Biogas-to-RNG'!J24)&lt;(C40*-1),(C40*-1),(C37-C32*'Biogas-to-RNG'!J24))</f>
        <v>0</v>
      </c>
      <c r="D38" s="285" t="s">
        <v>308</v>
      </c>
      <c r="E38" s="233"/>
      <c r="F38" s="976" t="s">
        <v>312</v>
      </c>
      <c r="G38" s="977"/>
      <c r="H38" s="978"/>
      <c r="I38" s="288"/>
    </row>
    <row r="39" spans="2:10" ht="30.6" customHeight="1">
      <c r="B39" s="982" t="s">
        <v>313</v>
      </c>
      <c r="C39" s="983"/>
      <c r="D39" s="984"/>
      <c r="E39" s="233"/>
      <c r="F39" s="979"/>
      <c r="G39" s="980"/>
      <c r="H39" s="981"/>
      <c r="I39" s="233"/>
    </row>
    <row r="40" spans="2:10" ht="39.6" customHeight="1">
      <c r="B40" s="283" t="s">
        <v>314</v>
      </c>
      <c r="C40" s="284">
        <f>'Biogas-to-RNG'!C52*'Biogas-to-RNG'!D52*Reference!$E$16/1000000</f>
        <v>0</v>
      </c>
      <c r="D40" s="285" t="s">
        <v>308</v>
      </c>
      <c r="E40" s="233"/>
      <c r="F40" s="979"/>
      <c r="G40" s="980"/>
      <c r="H40" s="981"/>
      <c r="I40" s="233"/>
    </row>
    <row r="41" spans="2:10" ht="41.1" customHeight="1">
      <c r="B41" s="283" t="s">
        <v>315</v>
      </c>
      <c r="C41" s="284">
        <f>'Biogas-to-RNG'!G52*'Biogas-to-RNG'!H52*Reference!$E$16/1000000</f>
        <v>0</v>
      </c>
      <c r="D41" s="285" t="s">
        <v>308</v>
      </c>
      <c r="E41" s="233"/>
      <c r="F41" s="289"/>
      <c r="G41" s="290"/>
      <c r="H41" s="291"/>
      <c r="I41" s="233"/>
    </row>
    <row r="42" spans="2:10" ht="47.25">
      <c r="B42" s="283" t="s">
        <v>316</v>
      </c>
      <c r="C42" s="284">
        <f>C40-C41</f>
        <v>0</v>
      </c>
      <c r="D42" s="285" t="s">
        <v>308</v>
      </c>
      <c r="E42" s="233"/>
      <c r="F42" s="289"/>
      <c r="G42" s="290"/>
      <c r="H42" s="291"/>
      <c r="I42" s="233"/>
    </row>
    <row r="43" spans="2:10" ht="54" customHeight="1">
      <c r="B43" s="283" t="s">
        <v>317</v>
      </c>
      <c r="C43" s="284">
        <f>'Biogas-to-RNG'!AD52/Reference!$D$16*Reference!$E$16</f>
        <v>0</v>
      </c>
      <c r="D43" s="285" t="s">
        <v>308</v>
      </c>
      <c r="E43" s="233"/>
      <c r="F43" s="289"/>
      <c r="G43" s="292"/>
      <c r="H43" s="291"/>
      <c r="I43" s="233"/>
    </row>
    <row r="44" spans="2:10" ht="34.5" customHeight="1">
      <c r="B44" s="283" t="s">
        <v>318</v>
      </c>
      <c r="C44" s="284">
        <f>'Biogas-to-RNG'!AC53*Reference!$E$16/1000000</f>
        <v>0</v>
      </c>
      <c r="D44" s="285" t="s">
        <v>308</v>
      </c>
      <c r="E44" s="233"/>
      <c r="F44" s="289"/>
      <c r="G44" s="292"/>
      <c r="H44" s="291"/>
      <c r="I44" s="233"/>
    </row>
    <row r="45" spans="2:10" ht="48" customHeight="1">
      <c r="B45" s="283" t="s">
        <v>319</v>
      </c>
      <c r="C45" s="284">
        <f>'Biogas-to-RNG'!AE52/Reference!D16*Reference!E16</f>
        <v>0</v>
      </c>
      <c r="D45" s="285" t="s">
        <v>308</v>
      </c>
      <c r="E45" s="233"/>
      <c r="F45" s="289"/>
      <c r="G45" s="293"/>
      <c r="H45" s="291"/>
      <c r="I45" s="233"/>
    </row>
    <row r="46" spans="2:10" ht="33" customHeight="1">
      <c r="B46" s="965" t="s">
        <v>320</v>
      </c>
      <c r="C46" s="966"/>
      <c r="D46" s="967"/>
      <c r="E46" s="233"/>
      <c r="F46" s="968"/>
      <c r="G46" s="969"/>
      <c r="H46" s="970"/>
      <c r="I46" s="233"/>
    </row>
    <row r="47" spans="2:10" ht="36" customHeight="1">
      <c r="B47" s="283" t="s">
        <v>321</v>
      </c>
      <c r="C47" s="829">
        <f>IFERROR((C41-C45*IF('Biogas-to-RNG'!AF52=0, 0, 'Biogas-to-RNG'!AG52/'Biogas-to-RNG'!AF52))/(C40),0)</f>
        <v>0</v>
      </c>
      <c r="D47" s="294" t="s">
        <v>68</v>
      </c>
      <c r="E47" s="233"/>
      <c r="F47" s="295"/>
      <c r="G47" s="296"/>
      <c r="H47" s="297"/>
      <c r="I47" s="233"/>
    </row>
    <row r="48" spans="2:10" ht="36" customHeight="1">
      <c r="B48" s="283" t="s">
        <v>322</v>
      </c>
      <c r="C48" s="298">
        <f>C47</f>
        <v>0</v>
      </c>
      <c r="D48" s="294" t="s">
        <v>68</v>
      </c>
      <c r="E48" s="233"/>
      <c r="F48" s="295"/>
      <c r="G48" s="296"/>
      <c r="H48" s="297"/>
      <c r="I48" s="233"/>
    </row>
    <row r="49" spans="2:9" ht="42.95" customHeight="1">
      <c r="B49" s="283" t="s">
        <v>323</v>
      </c>
      <c r="C49" s="299">
        <f>C38*C47</f>
        <v>0</v>
      </c>
      <c r="D49" s="285" t="s">
        <v>308</v>
      </c>
      <c r="E49" s="233"/>
      <c r="F49" s="300"/>
      <c r="G49" s="301"/>
      <c r="H49" s="302"/>
      <c r="I49" s="233"/>
    </row>
    <row r="50" spans="2:9" ht="45" customHeight="1">
      <c r="B50" s="283" t="s">
        <v>324</v>
      </c>
      <c r="C50" s="303">
        <f>IFERROR(C49/C43,0)</f>
        <v>0</v>
      </c>
      <c r="D50" s="304" t="s">
        <v>325</v>
      </c>
      <c r="E50" s="233"/>
      <c r="F50" s="283" t="s">
        <v>326</v>
      </c>
      <c r="G50" s="299">
        <f>G37*C48</f>
        <v>0</v>
      </c>
      <c r="H50" s="287" t="s">
        <v>310</v>
      </c>
    </row>
    <row r="51" spans="2:9" ht="47.25">
      <c r="B51" s="283" t="s">
        <v>327</v>
      </c>
      <c r="C51" s="299">
        <f>C50*1000000/Reference!B16*Reference!E16/Reference!H45</f>
        <v>0</v>
      </c>
      <c r="D51" s="304" t="s">
        <v>328</v>
      </c>
      <c r="E51" s="233"/>
      <c r="F51" s="283" t="s">
        <v>329</v>
      </c>
      <c r="G51" s="305">
        <f>IFERROR(G50/C43,0)</f>
        <v>0</v>
      </c>
      <c r="H51" s="306" t="s">
        <v>330</v>
      </c>
    </row>
    <row r="52" spans="2:9" ht="40.5" customHeight="1">
      <c r="B52" s="283" t="s">
        <v>331</v>
      </c>
      <c r="C52" s="299">
        <f>IFERROR(C51*Reference!B20,0)</f>
        <v>0</v>
      </c>
      <c r="D52" s="306" t="s">
        <v>332</v>
      </c>
      <c r="E52" s="233"/>
      <c r="F52" s="307"/>
      <c r="G52" s="299">
        <f>IFERROR(G51*1000000/Reference!B16*Reference!E16/Reference!H45,0)</f>
        <v>0</v>
      </c>
      <c r="H52" s="306" t="s">
        <v>332</v>
      </c>
    </row>
    <row r="53" spans="2:9" ht="17.45" customHeight="1"/>
    <row r="54" spans="2:9" ht="16.5" customHeight="1"/>
    <row r="55" spans="2:9" ht="46.5" customHeight="1">
      <c r="I55" s="233"/>
    </row>
    <row r="56" spans="2:9" ht="42.95" customHeight="1">
      <c r="I56" s="233"/>
    </row>
    <row r="57" spans="2:9" ht="36" customHeight="1"/>
    <row r="58" spans="2:9" ht="36.6" customHeight="1"/>
    <row r="59" spans="2:9" ht="38.450000000000003" customHeight="1"/>
  </sheetData>
  <mergeCells count="14">
    <mergeCell ref="B46:D46"/>
    <mergeCell ref="F46:H46"/>
    <mergeCell ref="B35:D35"/>
    <mergeCell ref="F35:H35"/>
    <mergeCell ref="I35:J36"/>
    <mergeCell ref="I37:J37"/>
    <mergeCell ref="F38:H40"/>
    <mergeCell ref="B39:D39"/>
    <mergeCell ref="B3:G3"/>
    <mergeCell ref="B5:B6"/>
    <mergeCell ref="C5:C6"/>
    <mergeCell ref="D5:G5"/>
    <mergeCell ref="E8:E31"/>
    <mergeCell ref="F8:F31"/>
  </mergeCells>
  <dataValidations count="1">
    <dataValidation type="list" allowBlank="1" showInputMessage="1" showErrorMessage="1" sqref="C4" xr:uid="{977DAF34-DB5B-4D08-B188-F69F99D53D38}">
      <formula1>"Covered Lagoon, Enclosed Vessel"</formula1>
    </dataValidation>
  </dataValidation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DF9B3-CD5C-43FF-B857-6A8C109FFA33}">
  <sheetPr codeName="Biogas_to_RNG">
    <tabColor rgb="FFE26B0A"/>
    <pageSetUpPr fitToPage="1"/>
  </sheetPr>
  <dimension ref="B1:AY131"/>
  <sheetViews>
    <sheetView showGridLines="0" topLeftCell="W31" zoomScaleNormal="100" zoomScalePageLayoutView="30" workbookViewId="0">
      <selection activeCell="AE55" sqref="AE55"/>
    </sheetView>
  </sheetViews>
  <sheetFormatPr defaultColWidth="9.140625" defaultRowHeight="15"/>
  <cols>
    <col min="1" max="1" width="4" style="309" customWidth="1"/>
    <col min="2" max="2" width="29.5703125" style="309" customWidth="1"/>
    <col min="3" max="3" width="21.7109375" style="309" customWidth="1"/>
    <col min="4" max="4" width="31.42578125" style="309" customWidth="1"/>
    <col min="5" max="5" width="26.140625" style="309" customWidth="1"/>
    <col min="6" max="6" width="21.5703125" style="309" customWidth="1"/>
    <col min="7" max="7" width="22.42578125" style="309" customWidth="1"/>
    <col min="8" max="8" width="27" style="309" customWidth="1"/>
    <col min="9" max="13" width="20" style="309" customWidth="1"/>
    <col min="14" max="14" width="21" style="309" customWidth="1"/>
    <col min="15" max="17" width="20" style="309" customWidth="1"/>
    <col min="18" max="19" width="20.5703125" style="309" customWidth="1"/>
    <col min="20" max="22" width="18.140625" style="309" customWidth="1"/>
    <col min="23" max="23" width="22.85546875" style="309" customWidth="1"/>
    <col min="24" max="24" width="20.7109375" style="309" customWidth="1"/>
    <col min="25" max="25" width="19.7109375" style="309" bestFit="1" customWidth="1"/>
    <col min="26" max="26" width="22.85546875" style="309" customWidth="1"/>
    <col min="27" max="27" width="22.140625" style="309" customWidth="1"/>
    <col min="28" max="28" width="21.140625" style="309" customWidth="1"/>
    <col min="29" max="29" width="19.140625" style="309" customWidth="1"/>
    <col min="30" max="30" width="32" style="309" customWidth="1"/>
    <col min="31" max="31" width="21.5703125" style="309" customWidth="1"/>
    <col min="32" max="32" width="20.5703125" style="309" customWidth="1"/>
    <col min="33" max="33" width="28.28515625" style="309" customWidth="1"/>
    <col min="34" max="34" width="25.5703125" style="309" customWidth="1"/>
    <col min="35" max="35" width="22.5703125" style="309" customWidth="1"/>
    <col min="36" max="36" width="23.85546875" style="309" customWidth="1"/>
    <col min="37" max="37" width="44.7109375" style="309" customWidth="1"/>
    <col min="38" max="38" width="45.5703125" style="309" customWidth="1"/>
    <col min="39" max="39" width="25.140625" style="309" bestFit="1" customWidth="1"/>
    <col min="40" max="40" width="23.42578125" style="309" customWidth="1"/>
    <col min="41" max="41" width="24.7109375" style="309" customWidth="1"/>
    <col min="42" max="42" width="26.140625" style="309" customWidth="1"/>
    <col min="43" max="43" width="20.140625" style="309" customWidth="1"/>
    <col min="44" max="44" width="17.28515625" style="309" customWidth="1"/>
    <col min="45" max="45" width="19.28515625" style="309" customWidth="1"/>
    <col min="46" max="46" width="13.140625" style="309" customWidth="1"/>
    <col min="47" max="47" width="10.85546875" style="309" customWidth="1"/>
    <col min="48" max="48" width="12.140625" style="309" customWidth="1"/>
    <col min="49" max="49" width="14" style="309" customWidth="1"/>
    <col min="50" max="50" width="11.28515625" style="309" customWidth="1"/>
    <col min="51" max="51" width="12.140625" style="309" customWidth="1"/>
    <col min="52" max="16384" width="9.140625" style="309"/>
  </cols>
  <sheetData>
    <row r="1" spans="2:40" ht="6" customHeight="1">
      <c r="B1" s="308"/>
      <c r="D1" s="310"/>
    </row>
    <row r="2" spans="2:40" ht="6" customHeight="1">
      <c r="C2" s="308"/>
      <c r="R2" s="1022"/>
      <c r="S2" s="1022"/>
      <c r="T2" s="1022"/>
      <c r="U2" s="1022"/>
      <c r="V2" s="1022"/>
      <c r="W2" s="1022"/>
      <c r="X2" s="1022"/>
      <c r="AJ2" s="311"/>
    </row>
    <row r="3" spans="2:40" ht="6.75" customHeight="1">
      <c r="AJ3" s="312"/>
    </row>
    <row r="4" spans="2:40" ht="3.75" customHeight="1">
      <c r="AJ4" s="313"/>
    </row>
    <row r="5" spans="2:40" ht="71.45" customHeight="1">
      <c r="C5" s="1023" t="s">
        <v>333</v>
      </c>
      <c r="D5" s="1023"/>
      <c r="E5" s="1023"/>
      <c r="F5" s="1023"/>
      <c r="G5" s="1023"/>
      <c r="H5" s="1023"/>
      <c r="I5" s="314"/>
      <c r="AJ5" s="315"/>
    </row>
    <row r="6" spans="2:40" ht="10.5" customHeight="1">
      <c r="B6" s="316"/>
      <c r="C6" s="317"/>
      <c r="D6" s="316"/>
      <c r="E6" s="316"/>
      <c r="F6" s="316"/>
      <c r="AB6" s="985"/>
      <c r="AC6" s="985"/>
      <c r="AD6" s="985"/>
      <c r="AE6" s="985"/>
      <c r="AF6" s="985"/>
      <c r="AG6" s="985"/>
      <c r="AH6" s="985"/>
      <c r="AI6" s="985"/>
      <c r="AJ6" s="318"/>
    </row>
    <row r="7" spans="2:40" ht="11.25" customHeight="1">
      <c r="C7" s="319"/>
      <c r="D7" s="319"/>
      <c r="E7" s="319"/>
      <c r="F7" s="319"/>
      <c r="W7" s="320"/>
    </row>
    <row r="8" spans="2:40" ht="6" customHeight="1" thickBot="1">
      <c r="W8" s="320"/>
    </row>
    <row r="9" spans="2:40" ht="29.25" customHeight="1" thickBot="1">
      <c r="B9" s="321" t="s">
        <v>334</v>
      </c>
      <c r="C9" s="888"/>
      <c r="D9" s="889"/>
      <c r="E9" s="889"/>
      <c r="F9" s="889"/>
      <c r="G9" s="889"/>
      <c r="H9" s="889"/>
      <c r="I9" s="889"/>
      <c r="J9" s="890"/>
      <c r="K9" s="322"/>
      <c r="T9" s="322"/>
      <c r="U9" s="322"/>
      <c r="V9" s="322"/>
      <c r="W9" s="322"/>
      <c r="X9" s="322"/>
      <c r="Y9" s="322"/>
      <c r="Z9" s="322"/>
      <c r="AA9" s="322"/>
      <c r="AB9" s="323"/>
      <c r="AC9" s="323"/>
      <c r="AD9" s="323"/>
      <c r="AE9" s="323"/>
      <c r="AF9" s="323"/>
      <c r="AG9" s="323"/>
      <c r="AH9" s="323"/>
      <c r="AI9" s="323"/>
    </row>
    <row r="10" spans="2:40" ht="39" customHeight="1">
      <c r="B10" s="324" t="s">
        <v>335</v>
      </c>
      <c r="C10" s="325">
        <f>G97</f>
        <v>0</v>
      </c>
      <c r="D10" s="986" t="str">
        <f>CONCATENATE("Pathway Description: RNG produced from livestock manure, pipelined to ",F15, " for Compressed Natural Gas")</f>
        <v>Pathway Description: RNG produced from livestock manure, pipelined to  for Compressed Natural Gas</v>
      </c>
      <c r="E10" s="987"/>
      <c r="F10" s="987"/>
      <c r="G10" s="987"/>
      <c r="H10" s="987"/>
      <c r="I10" s="987"/>
      <c r="J10" s="988"/>
      <c r="K10" s="326"/>
      <c r="T10" s="326"/>
      <c r="U10" s="326"/>
      <c r="V10" s="326"/>
      <c r="W10" s="326"/>
      <c r="X10" s="326"/>
      <c r="Y10" s="326"/>
      <c r="Z10" s="326"/>
      <c r="AA10" s="326"/>
    </row>
    <row r="11" spans="2:40" ht="39" customHeight="1">
      <c r="B11" s="327" t="s">
        <v>336</v>
      </c>
      <c r="C11" s="328">
        <f>G98</f>
        <v>0</v>
      </c>
      <c r="D11" s="989" t="str">
        <f>CONCATENATE("Pathway Description: RNG produced from livestock manure, pipelined to ",C20, " for liquefaction, then transported by truck to California LNG stations")</f>
        <v>Pathway Description: RNG produced from livestock manure, pipelined to  for liquefaction, then transported by truck to California LNG stations</v>
      </c>
      <c r="E11" s="990"/>
      <c r="F11" s="990"/>
      <c r="G11" s="990"/>
      <c r="H11" s="990"/>
      <c r="I11" s="990"/>
      <c r="J11" s="991"/>
      <c r="K11" s="326"/>
      <c r="T11" s="326"/>
      <c r="U11" s="326"/>
      <c r="V11" s="326"/>
      <c r="W11" s="326"/>
      <c r="X11" s="326"/>
      <c r="Y11" s="326"/>
      <c r="Z11" s="326"/>
      <c r="AA11" s="326"/>
    </row>
    <row r="12" spans="2:40" ht="39.75" customHeight="1" thickBot="1">
      <c r="B12" s="329" t="s">
        <v>337</v>
      </c>
      <c r="C12" s="330">
        <f>G99</f>
        <v>0</v>
      </c>
      <c r="D12" s="1002" t="str">
        <f>CONCATENATE("Pathway Description: RNG produced from livestock manure, pipelined to ",C20, " for liquefaction, then transported by truck to California LNG stations, re-gasified and compresses to Liquefied CNG")</f>
        <v>Pathway Description: RNG produced from livestock manure, pipelined to  for liquefaction, then transported by truck to California LNG stations, re-gasified and compresses to Liquefied CNG</v>
      </c>
      <c r="E12" s="1003"/>
      <c r="F12" s="1003"/>
      <c r="G12" s="1003"/>
      <c r="H12" s="1003"/>
      <c r="I12" s="1003"/>
      <c r="J12" s="1004"/>
      <c r="K12" s="331"/>
      <c r="T12" s="331"/>
      <c r="U12" s="331"/>
      <c r="V12" s="331"/>
      <c r="W12" s="331"/>
      <c r="X12" s="331"/>
      <c r="Y12" s="331"/>
      <c r="Z12" s="331"/>
      <c r="AA12" s="331"/>
    </row>
    <row r="13" spans="2:40" ht="27" customHeight="1" thickBot="1"/>
    <row r="14" spans="2:40" ht="28.5" customHeight="1" thickBot="1">
      <c r="B14" s="199" t="s">
        <v>338</v>
      </c>
      <c r="C14" s="200"/>
      <c r="D14" s="200"/>
      <c r="E14" s="200"/>
      <c r="F14" s="200"/>
      <c r="G14" s="200"/>
      <c r="H14" s="200"/>
      <c r="I14" s="200"/>
      <c r="J14" s="201"/>
      <c r="K14" s="332"/>
      <c r="O14" s="332"/>
      <c r="P14" s="332"/>
      <c r="Q14" s="332"/>
      <c r="R14" s="332"/>
      <c r="S14" s="332"/>
      <c r="T14" s="332"/>
      <c r="U14" s="332"/>
      <c r="V14" s="332"/>
      <c r="W14" s="333"/>
      <c r="X14" s="334"/>
      <c r="Y14" s="334"/>
      <c r="Z14" s="334"/>
      <c r="AA14" s="334"/>
      <c r="AB14" s="335"/>
      <c r="AC14" s="335"/>
      <c r="AD14" s="335"/>
      <c r="AE14" s="335"/>
      <c r="AF14" s="335"/>
      <c r="AG14" s="335"/>
      <c r="AH14" s="335"/>
      <c r="AI14" s="335"/>
      <c r="AJ14" s="335"/>
      <c r="AK14" s="335"/>
      <c r="AL14" s="335"/>
      <c r="AM14" s="335"/>
    </row>
    <row r="15" spans="2:40" s="339" customFormat="1" ht="57.95" customHeight="1">
      <c r="B15" s="336" t="s">
        <v>339</v>
      </c>
      <c r="C15" s="1008"/>
      <c r="D15" s="1009"/>
      <c r="E15" s="337" t="s">
        <v>340</v>
      </c>
      <c r="F15" s="1010"/>
      <c r="G15" s="1011"/>
      <c r="H15" s="1012" t="s">
        <v>341</v>
      </c>
      <c r="I15" s="1013"/>
      <c r="J15" s="1014"/>
      <c r="K15" s="338"/>
      <c r="L15" s="338"/>
      <c r="M15" s="338"/>
      <c r="N15" s="338"/>
      <c r="O15" s="338"/>
      <c r="P15" s="338"/>
      <c r="Q15" s="338"/>
      <c r="R15" s="338"/>
      <c r="S15" s="338"/>
      <c r="T15" s="338"/>
      <c r="U15" s="338"/>
      <c r="V15" s="338"/>
      <c r="W15" s="338"/>
      <c r="AN15" s="340"/>
    </row>
    <row r="16" spans="2:40" s="339" customFormat="1" ht="57.95" customHeight="1">
      <c r="B16" s="341" t="s">
        <v>342</v>
      </c>
      <c r="C16" s="1015"/>
      <c r="D16" s="1016"/>
      <c r="E16" s="342" t="s">
        <v>343</v>
      </c>
      <c r="F16" s="1015"/>
      <c r="G16" s="1016"/>
      <c r="H16" s="1024"/>
      <c r="I16" s="1025"/>
      <c r="J16" s="1026"/>
      <c r="K16" s="343"/>
      <c r="L16" s="343"/>
      <c r="M16" s="343"/>
      <c r="N16" s="343"/>
      <c r="O16" s="343"/>
      <c r="W16" s="344"/>
      <c r="AB16" s="345"/>
      <c r="AC16" s="345"/>
      <c r="AD16" s="345"/>
      <c r="AE16" s="345"/>
      <c r="AF16" s="345"/>
      <c r="AG16" s="345"/>
      <c r="AH16" s="345"/>
      <c r="AI16" s="345"/>
      <c r="AJ16" s="346"/>
      <c r="AK16" s="345"/>
      <c r="AL16" s="345"/>
      <c r="AN16" s="340"/>
    </row>
    <row r="17" spans="2:45" s="339" customFormat="1" ht="57.95" customHeight="1">
      <c r="B17" s="341" t="s">
        <v>344</v>
      </c>
      <c r="C17" s="1015"/>
      <c r="D17" s="1016"/>
      <c r="E17" s="347" t="s">
        <v>345</v>
      </c>
      <c r="F17" s="1015"/>
      <c r="G17" s="1016"/>
      <c r="H17" s="1024"/>
      <c r="I17" s="1025"/>
      <c r="J17" s="1026"/>
      <c r="K17" s="343"/>
      <c r="L17" s="343"/>
      <c r="M17" s="343"/>
      <c r="N17" s="343"/>
      <c r="O17" s="343"/>
      <c r="W17" s="344"/>
      <c r="X17" s="348"/>
      <c r="Y17" s="348"/>
      <c r="Z17" s="348"/>
      <c r="AA17" s="348"/>
      <c r="AB17" s="345"/>
      <c r="AC17" s="345"/>
      <c r="AD17" s="345"/>
      <c r="AE17" s="345"/>
      <c r="AF17" s="345"/>
      <c r="AG17" s="345"/>
      <c r="AH17" s="345"/>
      <c r="AI17" s="345"/>
      <c r="AJ17" s="346"/>
      <c r="AK17" s="345"/>
      <c r="AL17" s="345"/>
      <c r="AN17" s="340"/>
    </row>
    <row r="18" spans="2:45" s="339" customFormat="1" ht="57.95" customHeight="1">
      <c r="B18" s="349" t="s">
        <v>346</v>
      </c>
      <c r="C18" s="1017"/>
      <c r="D18" s="1018"/>
      <c r="E18" s="1030" t="s">
        <v>347</v>
      </c>
      <c r="F18" s="1032" t="str">
        <f>'Avoided Emissions'!C4</f>
        <v>Covered Lagoon</v>
      </c>
      <c r="G18" s="1033"/>
      <c r="H18" s="1024"/>
      <c r="I18" s="1025"/>
      <c r="J18" s="1026"/>
      <c r="K18" s="344"/>
      <c r="L18" s="822"/>
      <c r="M18" s="822"/>
      <c r="N18" s="344"/>
      <c r="O18" s="344"/>
      <c r="W18" s="344"/>
      <c r="X18" s="348"/>
      <c r="Y18" s="348"/>
      <c r="Z18" s="348"/>
      <c r="AA18" s="348"/>
      <c r="AB18" s="345"/>
      <c r="AC18" s="345"/>
      <c r="AD18" s="345"/>
      <c r="AE18" s="345"/>
      <c r="AF18" s="345"/>
      <c r="AG18" s="345"/>
      <c r="AH18" s="345"/>
      <c r="AI18" s="345"/>
      <c r="AJ18" s="346"/>
      <c r="AK18" s="345"/>
      <c r="AL18" s="345"/>
      <c r="AN18" s="340"/>
    </row>
    <row r="19" spans="2:45" s="339" customFormat="1" ht="57.95" customHeight="1">
      <c r="B19" s="350" t="s">
        <v>348</v>
      </c>
      <c r="C19" s="1019" t="s">
        <v>349</v>
      </c>
      <c r="D19" s="1019"/>
      <c r="E19" s="1031"/>
      <c r="F19" s="1034"/>
      <c r="G19" s="1035"/>
      <c r="H19" s="1024"/>
      <c r="I19" s="1025"/>
      <c r="J19" s="1026"/>
      <c r="K19" s="344"/>
      <c r="L19" s="344"/>
      <c r="M19" s="344"/>
      <c r="N19" s="344"/>
      <c r="O19" s="344"/>
      <c r="P19" s="344"/>
      <c r="Q19" s="344"/>
      <c r="R19" s="344"/>
      <c r="S19" s="344"/>
      <c r="T19" s="344"/>
      <c r="U19" s="344"/>
      <c r="V19" s="344"/>
      <c r="W19" s="344"/>
      <c r="AB19" s="345"/>
      <c r="AC19" s="345"/>
      <c r="AD19" s="345"/>
      <c r="AE19" s="345"/>
      <c r="AF19" s="345"/>
      <c r="AG19" s="345"/>
      <c r="AH19" s="345"/>
      <c r="AI19" s="345"/>
      <c r="AJ19" s="346"/>
      <c r="AK19" s="345"/>
      <c r="AL19" s="345"/>
      <c r="AN19" s="340"/>
    </row>
    <row r="20" spans="2:45" s="339" customFormat="1" ht="57.95" customHeight="1" thickBot="1">
      <c r="B20" s="351" t="s">
        <v>350</v>
      </c>
      <c r="C20" s="1020"/>
      <c r="D20" s="1021"/>
      <c r="E20" s="352" t="s">
        <v>351</v>
      </c>
      <c r="F20" s="1000" t="str">
        <f>IFERROR(IF(AVERAGE('Manure-to-Biogas (LOP Inputs)'!G9:G32)&lt;=10,"≤10",IF(AVERAGE('Manure-to-Biogas (LOP Inputs)'!G9:G32)&gt;=28,"≥28", ROUNDUP(AVERAGE('Manure-to-Biogas (LOP Inputs)'!G9:G32), 0))), "")</f>
        <v/>
      </c>
      <c r="G20" s="1001"/>
      <c r="H20" s="1027"/>
      <c r="I20" s="1028"/>
      <c r="J20" s="1029"/>
      <c r="K20" s="344"/>
      <c r="L20" s="344"/>
      <c r="M20" s="344"/>
      <c r="N20" s="344"/>
      <c r="O20" s="344"/>
      <c r="P20" s="344"/>
      <c r="Q20" s="344"/>
      <c r="R20" s="344"/>
      <c r="S20" s="344"/>
      <c r="T20" s="344"/>
      <c r="U20" s="344"/>
      <c r="V20" s="344"/>
      <c r="W20" s="344"/>
      <c r="AB20" s="345"/>
      <c r="AC20" s="345"/>
      <c r="AD20" s="345"/>
      <c r="AE20" s="345"/>
      <c r="AF20" s="345"/>
      <c r="AG20" s="345"/>
      <c r="AH20" s="345"/>
      <c r="AI20" s="345"/>
      <c r="AJ20" s="346"/>
      <c r="AK20" s="345"/>
      <c r="AL20" s="345"/>
      <c r="AN20" s="340"/>
    </row>
    <row r="21" spans="2:45" s="339" customFormat="1" ht="18.75">
      <c r="B21" s="353"/>
      <c r="D21" s="353"/>
      <c r="E21" s="353"/>
      <c r="F21" s="353"/>
      <c r="G21" s="344"/>
      <c r="H21" s="344"/>
      <c r="I21" s="344"/>
      <c r="J21" s="344"/>
      <c r="K21" s="344"/>
      <c r="L21" s="344"/>
      <c r="M21" s="344"/>
      <c r="N21" s="344"/>
      <c r="O21" s="344"/>
      <c r="P21" s="344"/>
      <c r="Q21" s="344"/>
      <c r="R21" s="344"/>
      <c r="S21" s="344"/>
      <c r="T21" s="344"/>
      <c r="U21" s="344"/>
      <c r="V21" s="344"/>
      <c r="W21" s="344"/>
      <c r="AB21" s="345"/>
      <c r="AC21" s="345"/>
      <c r="AD21" s="345"/>
      <c r="AE21" s="345"/>
      <c r="AF21" s="345"/>
      <c r="AG21" s="345"/>
      <c r="AH21" s="345"/>
      <c r="AI21" s="345"/>
      <c r="AJ21" s="346"/>
      <c r="AK21" s="345"/>
      <c r="AL21" s="345"/>
      <c r="AN21" s="340"/>
    </row>
    <row r="22" spans="2:45" s="339" customFormat="1" ht="15.75" thickBot="1">
      <c r="AP22" s="354"/>
      <c r="AQ22" s="355"/>
    </row>
    <row r="23" spans="2:45" s="356" customFormat="1" ht="30" customHeight="1" thickBot="1">
      <c r="B23" s="199" t="s">
        <v>352</v>
      </c>
      <c r="C23" s="200"/>
      <c r="D23" s="200"/>
      <c r="E23" s="200"/>
      <c r="F23" s="200"/>
      <c r="G23" s="200"/>
      <c r="H23" s="200"/>
      <c r="I23" s="200"/>
      <c r="J23" s="200"/>
      <c r="K23" s="200"/>
      <c r="L23" s="200"/>
      <c r="M23" s="200"/>
      <c r="N23" s="200"/>
      <c r="O23" s="200"/>
      <c r="P23" s="200"/>
      <c r="Q23" s="200"/>
      <c r="R23" s="200"/>
      <c r="S23" s="200"/>
      <c r="T23" s="200"/>
      <c r="U23" s="200"/>
      <c r="V23" s="200"/>
      <c r="W23" s="200"/>
      <c r="X23" s="200"/>
      <c r="Y23" s="200"/>
      <c r="Z23" s="200"/>
      <c r="AA23" s="200"/>
      <c r="AB23" s="200"/>
      <c r="AC23" s="200"/>
      <c r="AD23" s="200"/>
      <c r="AE23" s="200"/>
      <c r="AF23" s="200"/>
      <c r="AG23" s="200"/>
      <c r="AH23" s="200"/>
      <c r="AI23" s="201"/>
      <c r="AJ23" s="345"/>
      <c r="AK23" s="199" t="s">
        <v>353</v>
      </c>
      <c r="AL23" s="201"/>
      <c r="AM23" s="340"/>
      <c r="AN23" s="339"/>
      <c r="AO23" s="339"/>
      <c r="AP23" s="339"/>
      <c r="AQ23" s="339"/>
      <c r="AR23" s="339"/>
      <c r="AS23" s="339"/>
    </row>
    <row r="24" spans="2:45" ht="59.1" customHeight="1" thickBot="1">
      <c r="B24" s="357" t="s">
        <v>354</v>
      </c>
      <c r="C24" s="358" t="s">
        <v>355</v>
      </c>
      <c r="D24" s="359" t="s">
        <v>356</v>
      </c>
      <c r="F24" s="360" t="str">
        <f>IF(D24="User Defined Mix", "Enter User Defined Mix EF in cell E5 in 'EF Table' worksheet","")</f>
        <v/>
      </c>
      <c r="G24" s="361" t="s">
        <v>357</v>
      </c>
      <c r="H24" s="362" t="str">
        <f>IF(COUNTA(B28:B51)=24, "No", "Yes")</f>
        <v>Yes</v>
      </c>
      <c r="I24" s="361" t="s">
        <v>358</v>
      </c>
      <c r="J24" s="362">
        <f>COUNTA(B28:B51)</f>
        <v>0</v>
      </c>
      <c r="K24" s="363"/>
      <c r="L24" s="363"/>
      <c r="M24" s="363"/>
      <c r="N24" s="363"/>
      <c r="O24" s="1036"/>
      <c r="P24" s="1036"/>
      <c r="Q24" s="385"/>
      <c r="R24" s="364"/>
      <c r="S24" s="364"/>
      <c r="T24" s="1037"/>
      <c r="U24" s="1037"/>
      <c r="V24" s="1037"/>
      <c r="W24" s="1037"/>
      <c r="X24" s="1037"/>
      <c r="Y24" s="365"/>
      <c r="AE24" s="366"/>
      <c r="AF24" s="366"/>
      <c r="AG24" s="345"/>
      <c r="AH24" s="345"/>
      <c r="AI24" s="367"/>
      <c r="AJ24" s="345"/>
      <c r="AK24" s="368" t="s">
        <v>359</v>
      </c>
      <c r="AL24" s="369"/>
      <c r="AM24" s="340"/>
      <c r="AN24" s="339"/>
      <c r="AO24" s="339"/>
      <c r="AP24" s="339"/>
      <c r="AQ24" s="339"/>
      <c r="AR24" s="339"/>
      <c r="AS24" s="339"/>
    </row>
    <row r="25" spans="2:45" s="339" customFormat="1" ht="51" customHeight="1">
      <c r="B25" s="370" t="s">
        <v>360</v>
      </c>
      <c r="C25" s="1005" t="s">
        <v>361</v>
      </c>
      <c r="D25" s="1006"/>
      <c r="E25" s="1005" t="s">
        <v>362</v>
      </c>
      <c r="F25" s="1006"/>
      <c r="G25" s="1005" t="s">
        <v>363</v>
      </c>
      <c r="H25" s="1006"/>
      <c r="I25" s="1005" t="s">
        <v>364</v>
      </c>
      <c r="J25" s="1007"/>
      <c r="K25" s="1006"/>
      <c r="L25" s="1005" t="s">
        <v>365</v>
      </c>
      <c r="M25" s="1007"/>
      <c r="N25" s="1007"/>
      <c r="O25" s="1007"/>
      <c r="P25" s="1007"/>
      <c r="Q25" s="1006"/>
      <c r="R25" s="1038" t="s">
        <v>366</v>
      </c>
      <c r="S25" s="1039"/>
      <c r="T25" s="1039"/>
      <c r="U25" s="1039"/>
      <c r="V25" s="1039"/>
      <c r="W25" s="1039"/>
      <c r="X25" s="1039"/>
      <c r="Y25" s="1039"/>
      <c r="Z25" s="1039"/>
      <c r="AA25" s="1039"/>
      <c r="AB25" s="1039"/>
      <c r="AC25" s="1039"/>
      <c r="AD25" s="1040"/>
      <c r="AE25" s="1038" t="s">
        <v>367</v>
      </c>
      <c r="AF25" s="1039"/>
      <c r="AG25" s="1040"/>
      <c r="AH25" s="370" t="s">
        <v>368</v>
      </c>
      <c r="AI25" s="371" t="str">
        <f>IF($D$24="User Defined Mix", "User-Defined Electricity EF","")</f>
        <v/>
      </c>
      <c r="AJ25" s="372"/>
      <c r="AK25" s="373" t="s">
        <v>369</v>
      </c>
      <c r="AL25" s="874"/>
      <c r="AM25" s="340"/>
    </row>
    <row r="26" spans="2:45" s="386" customFormat="1" ht="114.6" customHeight="1">
      <c r="B26" s="374" t="s">
        <v>370</v>
      </c>
      <c r="C26" s="375" t="s">
        <v>371</v>
      </c>
      <c r="D26" s="376" t="s">
        <v>372</v>
      </c>
      <c r="E26" s="375" t="s">
        <v>373</v>
      </c>
      <c r="F26" s="376" t="s">
        <v>374</v>
      </c>
      <c r="G26" s="375" t="s">
        <v>375</v>
      </c>
      <c r="H26" s="377" t="s">
        <v>376</v>
      </c>
      <c r="I26" s="378" t="s">
        <v>377</v>
      </c>
      <c r="J26" s="379" t="s">
        <v>378</v>
      </c>
      <c r="K26" s="380" t="s">
        <v>379</v>
      </c>
      <c r="L26" s="378" t="s">
        <v>380</v>
      </c>
      <c r="M26" s="379" t="s">
        <v>381</v>
      </c>
      <c r="N26" s="379" t="s">
        <v>382</v>
      </c>
      <c r="O26" s="379" t="s">
        <v>383</v>
      </c>
      <c r="P26" s="379" t="s">
        <v>384</v>
      </c>
      <c r="Q26" s="382" t="s">
        <v>385</v>
      </c>
      <c r="R26" s="375" t="s">
        <v>386</v>
      </c>
      <c r="S26" s="896" t="s">
        <v>387</v>
      </c>
      <c r="T26" s="896" t="s">
        <v>388</v>
      </c>
      <c r="U26" s="381" t="s">
        <v>389</v>
      </c>
      <c r="V26" s="379" t="s">
        <v>390</v>
      </c>
      <c r="W26" s="379" t="s">
        <v>391</v>
      </c>
      <c r="X26" s="382" t="s">
        <v>392</v>
      </c>
      <c r="Y26" s="382" t="s">
        <v>393</v>
      </c>
      <c r="Z26" s="382" t="s">
        <v>394</v>
      </c>
      <c r="AA26" s="379" t="s">
        <v>395</v>
      </c>
      <c r="AB26" s="383" t="s">
        <v>396</v>
      </c>
      <c r="AC26" s="379" t="s">
        <v>397</v>
      </c>
      <c r="AD26" s="384" t="s">
        <v>398</v>
      </c>
      <c r="AE26" s="269" t="s">
        <v>399</v>
      </c>
      <c r="AF26" s="379" t="s">
        <v>400</v>
      </c>
      <c r="AG26" s="376" t="s">
        <v>401</v>
      </c>
      <c r="AH26" s="384" t="s">
        <v>402</v>
      </c>
      <c r="AI26" s="374" t="str">
        <f>IF(D24="User Defined Mix", "2.36  
User Defined Electricity Mix","2.36 User Defined Parameters ")</f>
        <v xml:space="preserve">2.36 User Defined Parameters </v>
      </c>
      <c r="AJ26" s="385"/>
      <c r="AK26" s="373" t="s">
        <v>403</v>
      </c>
      <c r="AL26" s="873"/>
      <c r="AM26" s="340"/>
      <c r="AN26" s="339"/>
      <c r="AO26" s="339"/>
      <c r="AP26" s="339"/>
      <c r="AQ26" s="339"/>
      <c r="AR26" s="339"/>
      <c r="AS26" s="339"/>
    </row>
    <row r="27" spans="2:45" s="391" customFormat="1" ht="32.25" customHeight="1">
      <c r="B27" s="374" t="s">
        <v>191</v>
      </c>
      <c r="C27" s="378" t="s">
        <v>404</v>
      </c>
      <c r="D27" s="380" t="s">
        <v>262</v>
      </c>
      <c r="E27" s="378" t="s">
        <v>261</v>
      </c>
      <c r="F27" s="387" t="s">
        <v>262</v>
      </c>
      <c r="G27" s="378" t="s">
        <v>404</v>
      </c>
      <c r="H27" s="380" t="s">
        <v>262</v>
      </c>
      <c r="I27" s="378" t="s">
        <v>42</v>
      </c>
      <c r="J27" s="379" t="s">
        <v>405</v>
      </c>
      <c r="K27" s="380" t="s">
        <v>44</v>
      </c>
      <c r="L27" s="378" t="s">
        <v>44</v>
      </c>
      <c r="M27" s="387" t="s">
        <v>406</v>
      </c>
      <c r="N27" s="379" t="s">
        <v>405</v>
      </c>
      <c r="O27" s="379" t="s">
        <v>405</v>
      </c>
      <c r="P27" s="379" t="s">
        <v>42</v>
      </c>
      <c r="Q27" s="830" t="s">
        <v>407</v>
      </c>
      <c r="R27" s="378" t="s">
        <v>405</v>
      </c>
      <c r="S27" s="379" t="s">
        <v>406</v>
      </c>
      <c r="T27" s="379" t="s">
        <v>405</v>
      </c>
      <c r="U27" s="388" t="s">
        <v>44</v>
      </c>
      <c r="V27" s="379" t="s">
        <v>44</v>
      </c>
      <c r="W27" s="388" t="s">
        <v>42</v>
      </c>
      <c r="X27" s="830" t="s">
        <v>408</v>
      </c>
      <c r="Y27" s="387" t="s">
        <v>405</v>
      </c>
      <c r="Z27" s="379" t="s">
        <v>42</v>
      </c>
      <c r="AA27" s="830" t="s">
        <v>409</v>
      </c>
      <c r="AB27" s="379" t="s">
        <v>404</v>
      </c>
      <c r="AC27" s="379" t="s">
        <v>262</v>
      </c>
      <c r="AD27" s="380" t="s">
        <v>405</v>
      </c>
      <c r="AE27" s="378" t="s">
        <v>405</v>
      </c>
      <c r="AF27" s="379" t="s">
        <v>44</v>
      </c>
      <c r="AG27" s="380" t="s">
        <v>44</v>
      </c>
      <c r="AH27" s="389" t="s">
        <v>410</v>
      </c>
      <c r="AI27" s="390" t="str">
        <f>IF($D$24="User Defined Mix", "gCO2e/kWh","N/A")</f>
        <v>N/A</v>
      </c>
      <c r="AJ27"/>
      <c r="AK27" s="1041" t="s">
        <v>411</v>
      </c>
      <c r="AL27" s="1043" t="s">
        <v>412</v>
      </c>
      <c r="AM27" s="340"/>
      <c r="AN27" s="339"/>
      <c r="AO27" s="339"/>
      <c r="AP27" s="339"/>
      <c r="AQ27" s="339"/>
      <c r="AR27" s="339"/>
      <c r="AS27" s="339"/>
    </row>
    <row r="28" spans="2:45" s="391" customFormat="1" ht="18" customHeight="1">
      <c r="B28" s="211"/>
      <c r="C28" s="392"/>
      <c r="D28" s="393"/>
      <c r="E28" s="866"/>
      <c r="F28" s="394"/>
      <c r="G28" s="398"/>
      <c r="H28" s="862"/>
      <c r="I28" s="398"/>
      <c r="J28" s="396"/>
      <c r="K28" s="397"/>
      <c r="L28" s="398"/>
      <c r="M28" s="850"/>
      <c r="N28" s="396"/>
      <c r="O28" s="396"/>
      <c r="P28" s="396"/>
      <c r="Q28" s="823"/>
      <c r="R28" s="398"/>
      <c r="S28" s="850"/>
      <c r="T28" s="399"/>
      <c r="U28" s="400"/>
      <c r="V28" s="399"/>
      <c r="W28" s="401"/>
      <c r="X28" s="401"/>
      <c r="Y28" s="402"/>
      <c r="Z28" s="403"/>
      <c r="AA28" s="861"/>
      <c r="AB28" s="399"/>
      <c r="AC28" s="863"/>
      <c r="AD28" s="404"/>
      <c r="AE28" s="405"/>
      <c r="AF28" s="396"/>
      <c r="AG28" s="406"/>
      <c r="AH28" s="407"/>
      <c r="AI28" s="864" t="str">
        <f>IF('EF Table'!E5&lt;&gt;"",'EF Table'!E5, "")</f>
        <v/>
      </c>
      <c r="AJ28"/>
      <c r="AK28" s="1042"/>
      <c r="AL28" s="1044"/>
      <c r="AM28" s="340"/>
      <c r="AN28" s="339"/>
      <c r="AO28" s="339"/>
      <c r="AP28" s="339"/>
      <c r="AQ28" s="339"/>
      <c r="AR28" s="339"/>
      <c r="AS28" s="339"/>
    </row>
    <row r="29" spans="2:45" ht="18" customHeight="1">
      <c r="B29" s="211"/>
      <c r="C29" s="392"/>
      <c r="D29" s="393"/>
      <c r="E29" s="866"/>
      <c r="F29" s="394"/>
      <c r="G29" s="398"/>
      <c r="H29" s="862"/>
      <c r="I29" s="398"/>
      <c r="J29" s="396"/>
      <c r="K29" s="397"/>
      <c r="L29" s="398"/>
      <c r="M29" s="850"/>
      <c r="N29" s="396"/>
      <c r="O29" s="396"/>
      <c r="P29" s="396"/>
      <c r="Q29" s="823"/>
      <c r="R29" s="398"/>
      <c r="S29" s="850"/>
      <c r="T29" s="399"/>
      <c r="U29" s="400"/>
      <c r="V29" s="399"/>
      <c r="W29" s="401"/>
      <c r="X29" s="401"/>
      <c r="Y29" s="402"/>
      <c r="Z29" s="403"/>
      <c r="AA29" s="861"/>
      <c r="AB29" s="399"/>
      <c r="AC29" s="863"/>
      <c r="AD29" s="404"/>
      <c r="AE29" s="405"/>
      <c r="AF29" s="396"/>
      <c r="AG29" s="406"/>
      <c r="AH29" s="408"/>
      <c r="AI29" s="895"/>
      <c r="AJ29"/>
      <c r="AK29" s="1041" t="s">
        <v>413</v>
      </c>
      <c r="AL29" s="1052">
        <f>AD55*AH46*(1-AH40*'EF Table'!F37)*(1-IF(AL27="Boil-Off Recovery Equipped",'EF Table'!F40,'EF Table'!F41))</f>
        <v>0</v>
      </c>
      <c r="AM29" s="340"/>
      <c r="AN29" s="339"/>
      <c r="AO29" s="339"/>
      <c r="AP29" s="339"/>
      <c r="AQ29" s="339"/>
      <c r="AR29" s="339"/>
      <c r="AS29" s="339"/>
    </row>
    <row r="30" spans="2:45" ht="18" customHeight="1" thickBot="1">
      <c r="B30" s="211"/>
      <c r="C30" s="392"/>
      <c r="D30" s="393"/>
      <c r="E30" s="866"/>
      <c r="F30" s="394"/>
      <c r="G30" s="398"/>
      <c r="H30" s="862"/>
      <c r="I30" s="398"/>
      <c r="J30" s="396"/>
      <c r="K30" s="397"/>
      <c r="L30" s="398"/>
      <c r="M30" s="850"/>
      <c r="N30" s="396"/>
      <c r="O30" s="396"/>
      <c r="P30" s="396"/>
      <c r="Q30" s="823"/>
      <c r="R30" s="398"/>
      <c r="S30" s="850"/>
      <c r="T30" s="399"/>
      <c r="U30" s="400"/>
      <c r="V30" s="399"/>
      <c r="W30" s="401"/>
      <c r="X30" s="401"/>
      <c r="Y30" s="402"/>
      <c r="Z30" s="403"/>
      <c r="AA30" s="861"/>
      <c r="AB30" s="399"/>
      <c r="AC30" s="863"/>
      <c r="AD30" s="404"/>
      <c r="AE30" s="405"/>
      <c r="AF30" s="396"/>
      <c r="AG30" s="406"/>
      <c r="AH30" s="1045" t="s">
        <v>414</v>
      </c>
      <c r="AI30" s="409" t="str">
        <f>IF(D24="User Defined Mix", "","N/A")</f>
        <v>N/A</v>
      </c>
      <c r="AJ30"/>
      <c r="AK30" s="1051"/>
      <c r="AL30" s="1053"/>
      <c r="AM30" s="339"/>
      <c r="AN30" s="339"/>
      <c r="AO30" s="339"/>
      <c r="AP30" s="339"/>
      <c r="AQ30" s="339"/>
      <c r="AR30" s="339"/>
      <c r="AS30" s="339"/>
    </row>
    <row r="31" spans="2:45" ht="18" customHeight="1">
      <c r="B31" s="211"/>
      <c r="C31" s="392"/>
      <c r="D31" s="393"/>
      <c r="E31" s="866"/>
      <c r="F31" s="394"/>
      <c r="G31" s="398"/>
      <c r="H31" s="862"/>
      <c r="I31" s="398"/>
      <c r="J31" s="396"/>
      <c r="K31" s="397"/>
      <c r="L31" s="398"/>
      <c r="M31" s="850"/>
      <c r="N31" s="396"/>
      <c r="O31" s="396"/>
      <c r="P31" s="396"/>
      <c r="Q31" s="823"/>
      <c r="R31" s="398"/>
      <c r="S31" s="850"/>
      <c r="T31" s="399"/>
      <c r="U31" s="400"/>
      <c r="V31" s="399"/>
      <c r="W31" s="401"/>
      <c r="X31" s="401"/>
      <c r="Y31" s="402"/>
      <c r="Z31" s="403"/>
      <c r="AA31" s="861"/>
      <c r="AB31" s="399"/>
      <c r="AC31" s="863"/>
      <c r="AD31" s="404"/>
      <c r="AE31" s="405"/>
      <c r="AF31" s="396"/>
      <c r="AG31" s="406"/>
      <c r="AH31" s="1045"/>
      <c r="AI31" s="895"/>
      <c r="AJ31"/>
      <c r="AL31" s="339"/>
      <c r="AM31" s="339"/>
      <c r="AN31" s="339"/>
      <c r="AO31" s="339"/>
      <c r="AP31" s="339"/>
      <c r="AQ31" s="339"/>
      <c r="AR31" s="339"/>
      <c r="AS31" s="339"/>
    </row>
    <row r="32" spans="2:45" ht="18" customHeight="1">
      <c r="B32" s="211"/>
      <c r="C32" s="392"/>
      <c r="D32" s="393"/>
      <c r="E32" s="866"/>
      <c r="F32" s="394"/>
      <c r="G32" s="398"/>
      <c r="H32" s="862"/>
      <c r="I32" s="398"/>
      <c r="J32" s="396"/>
      <c r="K32" s="397"/>
      <c r="L32" s="398"/>
      <c r="M32" s="850"/>
      <c r="N32" s="396"/>
      <c r="O32" s="396"/>
      <c r="P32" s="396"/>
      <c r="Q32" s="823"/>
      <c r="R32" s="398"/>
      <c r="S32" s="850"/>
      <c r="T32" s="399"/>
      <c r="U32" s="400"/>
      <c r="V32" s="399"/>
      <c r="W32" s="401"/>
      <c r="X32" s="401"/>
      <c r="Y32" s="402"/>
      <c r="Z32" s="403"/>
      <c r="AA32" s="861"/>
      <c r="AB32" s="399"/>
      <c r="AC32" s="863"/>
      <c r="AD32" s="404"/>
      <c r="AE32" s="405"/>
      <c r="AF32" s="396"/>
      <c r="AG32" s="406"/>
      <c r="AH32" s="1045"/>
      <c r="AI32" s="410"/>
      <c r="AJ32"/>
      <c r="AL32" s="339"/>
      <c r="AM32" s="339"/>
      <c r="AN32" s="339"/>
      <c r="AO32" s="339"/>
      <c r="AP32" s="339"/>
      <c r="AQ32" s="339"/>
      <c r="AR32" s="339"/>
      <c r="AS32" s="339"/>
    </row>
    <row r="33" spans="2:45" ht="18" customHeight="1">
      <c r="B33" s="211"/>
      <c r="C33" s="392"/>
      <c r="D33" s="393"/>
      <c r="E33" s="866"/>
      <c r="F33" s="394"/>
      <c r="G33" s="398"/>
      <c r="H33" s="862"/>
      <c r="I33" s="398"/>
      <c r="J33" s="396"/>
      <c r="K33" s="397"/>
      <c r="L33" s="398"/>
      <c r="M33" s="850"/>
      <c r="N33" s="396"/>
      <c r="O33" s="396"/>
      <c r="P33" s="396"/>
      <c r="Q33" s="823"/>
      <c r="R33" s="398"/>
      <c r="S33" s="850"/>
      <c r="T33" s="399"/>
      <c r="U33" s="400"/>
      <c r="V33" s="399"/>
      <c r="W33" s="401"/>
      <c r="X33" s="401"/>
      <c r="Y33" s="402"/>
      <c r="Z33" s="403"/>
      <c r="AA33" s="861"/>
      <c r="AB33" s="399"/>
      <c r="AC33" s="863"/>
      <c r="AD33" s="404"/>
      <c r="AE33" s="405"/>
      <c r="AF33" s="396"/>
      <c r="AG33" s="406"/>
      <c r="AH33" s="894"/>
      <c r="AI33" s="1050"/>
      <c r="AJ33"/>
      <c r="AK33" s="339"/>
      <c r="AL33" s="339"/>
      <c r="AM33" s="339"/>
      <c r="AN33" s="339"/>
      <c r="AO33" s="339"/>
      <c r="AP33" s="339"/>
      <c r="AQ33" s="339"/>
      <c r="AR33" s="339"/>
      <c r="AS33" s="339"/>
    </row>
    <row r="34" spans="2:45" ht="18" customHeight="1">
      <c r="B34" s="211"/>
      <c r="C34" s="392"/>
      <c r="D34" s="393"/>
      <c r="E34" s="866"/>
      <c r="F34" s="394"/>
      <c r="G34" s="398"/>
      <c r="H34" s="862"/>
      <c r="I34" s="398"/>
      <c r="J34" s="396"/>
      <c r="K34" s="397"/>
      <c r="L34" s="398"/>
      <c r="M34" s="850"/>
      <c r="N34" s="396"/>
      <c r="O34" s="396"/>
      <c r="P34" s="396"/>
      <c r="Q34" s="823"/>
      <c r="R34" s="398"/>
      <c r="S34" s="850"/>
      <c r="T34" s="399"/>
      <c r="U34" s="400"/>
      <c r="V34" s="399"/>
      <c r="W34" s="401"/>
      <c r="X34" s="401"/>
      <c r="Y34" s="402"/>
      <c r="Z34" s="403"/>
      <c r="AA34" s="861"/>
      <c r="AB34" s="399"/>
      <c r="AC34" s="863"/>
      <c r="AD34" s="404"/>
      <c r="AE34" s="405"/>
      <c r="AF34" s="396"/>
      <c r="AG34" s="406"/>
      <c r="AH34" s="871"/>
      <c r="AI34" s="1050"/>
      <c r="AJ34"/>
      <c r="AK34" s="339"/>
      <c r="AL34" s="339"/>
      <c r="AM34" s="339"/>
      <c r="AN34" s="339"/>
      <c r="AO34" s="339"/>
      <c r="AP34" s="339"/>
      <c r="AQ34" s="339"/>
      <c r="AR34" s="339"/>
      <c r="AS34" s="339"/>
    </row>
    <row r="35" spans="2:45" ht="18" customHeight="1">
      <c r="B35" s="211"/>
      <c r="C35" s="392"/>
      <c r="D35" s="393"/>
      <c r="E35" s="866"/>
      <c r="F35" s="394"/>
      <c r="G35" s="398"/>
      <c r="H35" s="862"/>
      <c r="I35" s="398"/>
      <c r="J35" s="396"/>
      <c r="K35" s="397"/>
      <c r="L35" s="398"/>
      <c r="M35" s="850"/>
      <c r="N35" s="396"/>
      <c r="O35" s="396"/>
      <c r="P35" s="396"/>
      <c r="Q35" s="823"/>
      <c r="R35" s="398"/>
      <c r="S35" s="850"/>
      <c r="T35" s="399"/>
      <c r="U35" s="400"/>
      <c r="V35" s="399"/>
      <c r="W35" s="401"/>
      <c r="X35" s="401"/>
      <c r="Y35" s="402"/>
      <c r="Z35" s="403"/>
      <c r="AA35" s="861"/>
      <c r="AB35" s="399"/>
      <c r="AC35" s="863"/>
      <c r="AD35" s="404"/>
      <c r="AE35" s="405"/>
      <c r="AF35" s="396"/>
      <c r="AG35" s="406"/>
      <c r="AH35" s="411"/>
      <c r="AI35" s="1050"/>
      <c r="AJ35"/>
      <c r="AK35" s="339"/>
      <c r="AL35" s="339"/>
      <c r="AM35" s="339"/>
      <c r="AN35" s="339"/>
      <c r="AO35" s="339"/>
      <c r="AP35" s="339"/>
      <c r="AQ35" s="339"/>
      <c r="AR35" s="339"/>
      <c r="AS35" s="339"/>
    </row>
    <row r="36" spans="2:45" ht="18" customHeight="1">
      <c r="B36" s="211"/>
      <c r="C36" s="392"/>
      <c r="D36" s="393"/>
      <c r="E36" s="866"/>
      <c r="F36" s="394"/>
      <c r="G36" s="398"/>
      <c r="H36" s="862"/>
      <c r="I36" s="398"/>
      <c r="J36" s="396"/>
      <c r="K36" s="397"/>
      <c r="L36" s="398"/>
      <c r="M36" s="850"/>
      <c r="N36" s="396"/>
      <c r="O36" s="396"/>
      <c r="P36" s="396"/>
      <c r="Q36" s="823"/>
      <c r="R36" s="398"/>
      <c r="S36" s="850"/>
      <c r="T36" s="399"/>
      <c r="U36" s="400"/>
      <c r="V36" s="399"/>
      <c r="W36" s="401"/>
      <c r="X36" s="401"/>
      <c r="Y36" s="402"/>
      <c r="Z36" s="403"/>
      <c r="AA36" s="861"/>
      <c r="AB36" s="399"/>
      <c r="AC36" s="863"/>
      <c r="AD36" s="404"/>
      <c r="AE36" s="405"/>
      <c r="AF36" s="396"/>
      <c r="AG36" s="406"/>
      <c r="AH36" s="1054" t="s">
        <v>415</v>
      </c>
      <c r="AI36" s="1050"/>
      <c r="AJ36"/>
      <c r="AK36" s="339"/>
      <c r="AL36" s="339"/>
      <c r="AM36" s="339"/>
      <c r="AN36" s="339"/>
      <c r="AO36" s="339"/>
      <c r="AP36" s="339"/>
      <c r="AQ36" s="339"/>
      <c r="AR36" s="339"/>
      <c r="AS36" s="339"/>
    </row>
    <row r="37" spans="2:45" ht="18" customHeight="1">
      <c r="B37" s="211"/>
      <c r="C37" s="392"/>
      <c r="D37" s="393"/>
      <c r="E37" s="866"/>
      <c r="F37" s="394"/>
      <c r="G37" s="398"/>
      <c r="H37" s="862"/>
      <c r="I37" s="398"/>
      <c r="J37" s="396"/>
      <c r="K37" s="397"/>
      <c r="L37" s="398"/>
      <c r="M37" s="850"/>
      <c r="N37" s="396"/>
      <c r="O37" s="396"/>
      <c r="P37" s="396"/>
      <c r="Q37" s="823"/>
      <c r="R37" s="398"/>
      <c r="S37" s="850"/>
      <c r="T37" s="399"/>
      <c r="U37" s="400"/>
      <c r="V37" s="399"/>
      <c r="W37" s="401"/>
      <c r="X37" s="401"/>
      <c r="Y37" s="402"/>
      <c r="Z37" s="403"/>
      <c r="AA37" s="861"/>
      <c r="AB37" s="399"/>
      <c r="AC37" s="863"/>
      <c r="AD37" s="404"/>
      <c r="AE37" s="405"/>
      <c r="AF37" s="396"/>
      <c r="AG37" s="406"/>
      <c r="AH37" s="1055"/>
      <c r="AI37" s="1050"/>
      <c r="AJ37"/>
      <c r="AK37" s="339"/>
      <c r="AL37" s="339"/>
      <c r="AM37" s="339"/>
      <c r="AN37" s="339"/>
      <c r="AO37" s="339"/>
      <c r="AP37" s="339"/>
      <c r="AQ37" s="339"/>
      <c r="AR37" s="339"/>
      <c r="AS37" s="339"/>
    </row>
    <row r="38" spans="2:45" ht="18" customHeight="1">
      <c r="B38" s="211"/>
      <c r="C38" s="392"/>
      <c r="D38" s="393"/>
      <c r="E38" s="866"/>
      <c r="F38" s="394"/>
      <c r="G38" s="398"/>
      <c r="H38" s="862"/>
      <c r="I38" s="398"/>
      <c r="J38" s="396"/>
      <c r="K38" s="397"/>
      <c r="L38" s="398"/>
      <c r="M38" s="850"/>
      <c r="N38" s="396"/>
      <c r="O38" s="396"/>
      <c r="P38" s="396"/>
      <c r="Q38" s="823"/>
      <c r="R38" s="398"/>
      <c r="S38" s="850"/>
      <c r="T38" s="399"/>
      <c r="U38" s="400"/>
      <c r="V38" s="399"/>
      <c r="W38" s="401"/>
      <c r="X38" s="401"/>
      <c r="Y38" s="402"/>
      <c r="Z38" s="403"/>
      <c r="AA38" s="861"/>
      <c r="AB38" s="399"/>
      <c r="AC38" s="863"/>
      <c r="AD38" s="404"/>
      <c r="AE38" s="405"/>
      <c r="AF38" s="396"/>
      <c r="AG38" s="406"/>
      <c r="AH38" s="1055"/>
      <c r="AI38" s="1050"/>
      <c r="AJ38"/>
      <c r="AK38" s="339"/>
      <c r="AL38" s="339"/>
      <c r="AM38" s="339"/>
      <c r="AN38" s="339"/>
      <c r="AO38" s="339"/>
      <c r="AP38" s="339"/>
      <c r="AQ38" s="339"/>
      <c r="AR38" s="339"/>
      <c r="AS38" s="339"/>
    </row>
    <row r="39" spans="2:45" ht="18" customHeight="1">
      <c r="B39" s="211"/>
      <c r="C39" s="392"/>
      <c r="D39" s="393"/>
      <c r="E39" s="866"/>
      <c r="F39" s="394"/>
      <c r="G39" s="398"/>
      <c r="H39" s="862"/>
      <c r="I39" s="398"/>
      <c r="J39" s="396"/>
      <c r="K39" s="397"/>
      <c r="L39" s="398"/>
      <c r="M39" s="850"/>
      <c r="N39" s="396"/>
      <c r="O39" s="396"/>
      <c r="P39" s="396"/>
      <c r="Q39" s="823"/>
      <c r="R39" s="398"/>
      <c r="S39" s="850"/>
      <c r="T39" s="399"/>
      <c r="U39" s="400"/>
      <c r="V39" s="399"/>
      <c r="W39" s="401"/>
      <c r="X39" s="401"/>
      <c r="Y39" s="402"/>
      <c r="Z39" s="403"/>
      <c r="AA39" s="861"/>
      <c r="AB39" s="399"/>
      <c r="AC39" s="863"/>
      <c r="AD39" s="404"/>
      <c r="AE39" s="405"/>
      <c r="AF39" s="396"/>
      <c r="AG39" s="406"/>
      <c r="AH39" s="1055"/>
      <c r="AI39" s="410"/>
      <c r="AJ39"/>
      <c r="AK39" s="339"/>
      <c r="AL39" s="339"/>
      <c r="AM39" s="339"/>
      <c r="AN39" s="339"/>
      <c r="AO39" s="339"/>
      <c r="AP39" s="339"/>
      <c r="AQ39" s="339"/>
      <c r="AR39" s="339"/>
      <c r="AS39" s="339"/>
    </row>
    <row r="40" spans="2:45" ht="18" customHeight="1">
      <c r="B40" s="211"/>
      <c r="C40" s="392"/>
      <c r="D40" s="393"/>
      <c r="E40" s="866"/>
      <c r="F40" s="394"/>
      <c r="G40" s="398"/>
      <c r="H40" s="862"/>
      <c r="I40" s="398"/>
      <c r="J40" s="396"/>
      <c r="K40" s="397"/>
      <c r="L40" s="398"/>
      <c r="M40" s="850"/>
      <c r="N40" s="396"/>
      <c r="O40" s="396"/>
      <c r="P40" s="396"/>
      <c r="Q40" s="823"/>
      <c r="R40" s="398"/>
      <c r="S40" s="850"/>
      <c r="T40" s="399"/>
      <c r="U40" s="400"/>
      <c r="V40" s="399"/>
      <c r="W40" s="401"/>
      <c r="X40" s="401"/>
      <c r="Y40" s="402"/>
      <c r="Z40" s="403"/>
      <c r="AA40" s="861"/>
      <c r="AB40" s="399"/>
      <c r="AC40" s="863"/>
      <c r="AD40" s="404"/>
      <c r="AE40" s="405"/>
      <c r="AF40" s="396"/>
      <c r="AG40" s="406"/>
      <c r="AH40" s="872"/>
      <c r="AI40" s="412"/>
      <c r="AJ40"/>
      <c r="AK40" s="339"/>
      <c r="AL40" s="339"/>
      <c r="AM40" s="339"/>
      <c r="AN40" s="339"/>
      <c r="AO40" s="339"/>
      <c r="AP40" s="339"/>
      <c r="AQ40" s="339"/>
      <c r="AR40" s="339"/>
      <c r="AS40" s="339"/>
    </row>
    <row r="41" spans="2:45" ht="18" customHeight="1">
      <c r="B41" s="211"/>
      <c r="C41" s="392"/>
      <c r="D41" s="393"/>
      <c r="E41" s="866"/>
      <c r="F41" s="394"/>
      <c r="G41" s="398"/>
      <c r="H41" s="862"/>
      <c r="I41" s="398"/>
      <c r="J41" s="396"/>
      <c r="K41" s="397"/>
      <c r="L41" s="398"/>
      <c r="M41" s="850"/>
      <c r="N41" s="396"/>
      <c r="O41" s="396"/>
      <c r="P41" s="396"/>
      <c r="Q41" s="823"/>
      <c r="R41" s="398"/>
      <c r="S41" s="850"/>
      <c r="T41" s="399"/>
      <c r="U41" s="400"/>
      <c r="V41" s="399"/>
      <c r="W41" s="401"/>
      <c r="X41" s="401"/>
      <c r="Y41" s="402"/>
      <c r="Z41" s="403"/>
      <c r="AA41" s="861"/>
      <c r="AB41" s="399"/>
      <c r="AC41" s="863"/>
      <c r="AD41" s="404"/>
      <c r="AE41" s="405"/>
      <c r="AF41" s="396"/>
      <c r="AG41" s="406"/>
      <c r="AH41" s="413"/>
      <c r="AI41" s="412"/>
      <c r="AJ41"/>
      <c r="AK41" s="339"/>
      <c r="AL41" s="339"/>
      <c r="AM41" s="339"/>
      <c r="AN41" s="339"/>
      <c r="AO41" s="339"/>
      <c r="AP41" s="339"/>
      <c r="AQ41" s="339"/>
      <c r="AR41" s="339"/>
      <c r="AS41" s="339"/>
    </row>
    <row r="42" spans="2:45" ht="18" customHeight="1">
      <c r="B42" s="211"/>
      <c r="C42" s="392"/>
      <c r="D42" s="393"/>
      <c r="E42" s="866"/>
      <c r="F42" s="394"/>
      <c r="G42" s="398"/>
      <c r="H42" s="862"/>
      <c r="I42" s="398"/>
      <c r="J42" s="396"/>
      <c r="K42" s="397"/>
      <c r="L42" s="398"/>
      <c r="M42" s="850"/>
      <c r="N42" s="396"/>
      <c r="O42" s="396"/>
      <c r="P42" s="396"/>
      <c r="Q42" s="823"/>
      <c r="R42" s="398"/>
      <c r="S42" s="850"/>
      <c r="T42" s="399"/>
      <c r="U42" s="400"/>
      <c r="V42" s="399"/>
      <c r="W42" s="401"/>
      <c r="X42" s="401"/>
      <c r="Y42" s="402"/>
      <c r="Z42" s="403"/>
      <c r="AA42" s="861"/>
      <c r="AB42" s="399"/>
      <c r="AC42" s="863"/>
      <c r="AD42" s="404"/>
      <c r="AE42" s="405"/>
      <c r="AF42" s="396"/>
      <c r="AG42" s="406"/>
      <c r="AH42" s="1054" t="s">
        <v>416</v>
      </c>
      <c r="AI42" s="412"/>
      <c r="AJ42"/>
      <c r="AK42" s="339"/>
      <c r="AL42" s="339"/>
      <c r="AM42" s="339"/>
      <c r="AN42" s="339"/>
      <c r="AO42" s="339"/>
      <c r="AP42" s="339"/>
      <c r="AQ42" s="339"/>
      <c r="AR42" s="339"/>
      <c r="AS42" s="339"/>
    </row>
    <row r="43" spans="2:45" ht="18" customHeight="1">
      <c r="B43" s="211"/>
      <c r="C43" s="392"/>
      <c r="D43" s="393"/>
      <c r="E43" s="866"/>
      <c r="F43" s="394"/>
      <c r="G43" s="398"/>
      <c r="H43" s="862"/>
      <c r="I43" s="398"/>
      <c r="J43" s="396"/>
      <c r="K43" s="397"/>
      <c r="L43" s="398"/>
      <c r="M43" s="850"/>
      <c r="N43" s="396"/>
      <c r="O43" s="396"/>
      <c r="P43" s="396"/>
      <c r="Q43" s="823"/>
      <c r="R43" s="398"/>
      <c r="S43" s="850"/>
      <c r="T43" s="399"/>
      <c r="U43" s="400"/>
      <c r="V43" s="399"/>
      <c r="W43" s="401"/>
      <c r="X43" s="401"/>
      <c r="Y43" s="402"/>
      <c r="Z43" s="403"/>
      <c r="AA43" s="861"/>
      <c r="AB43" s="399"/>
      <c r="AC43" s="863"/>
      <c r="AD43" s="404"/>
      <c r="AE43" s="405"/>
      <c r="AF43" s="396"/>
      <c r="AG43" s="406"/>
      <c r="AH43" s="1055"/>
      <c r="AI43" s="412"/>
      <c r="AJ43"/>
      <c r="AK43" s="339"/>
      <c r="AL43" s="339"/>
      <c r="AM43" s="339"/>
      <c r="AN43" s="339"/>
      <c r="AO43" s="339"/>
      <c r="AP43" s="339"/>
      <c r="AQ43" s="339"/>
      <c r="AR43" s="339"/>
      <c r="AS43" s="339"/>
    </row>
    <row r="44" spans="2:45" ht="18" customHeight="1">
      <c r="B44" s="211"/>
      <c r="C44" s="392"/>
      <c r="D44" s="393"/>
      <c r="E44" s="866"/>
      <c r="F44" s="394"/>
      <c r="G44" s="398"/>
      <c r="H44" s="862"/>
      <c r="I44" s="398"/>
      <c r="J44" s="396"/>
      <c r="K44" s="397"/>
      <c r="L44" s="398"/>
      <c r="M44" s="850"/>
      <c r="N44" s="396"/>
      <c r="O44" s="396"/>
      <c r="P44" s="396"/>
      <c r="Q44" s="823"/>
      <c r="R44" s="398"/>
      <c r="S44" s="850"/>
      <c r="T44" s="399"/>
      <c r="U44" s="400"/>
      <c r="V44" s="399"/>
      <c r="W44" s="401"/>
      <c r="X44" s="401"/>
      <c r="Y44" s="402"/>
      <c r="Z44" s="403"/>
      <c r="AA44" s="861"/>
      <c r="AB44" s="399"/>
      <c r="AC44" s="863"/>
      <c r="AD44" s="404"/>
      <c r="AE44" s="405"/>
      <c r="AF44" s="396"/>
      <c r="AG44" s="406"/>
      <c r="AH44" s="1055"/>
      <c r="AI44" s="412"/>
      <c r="AJ44"/>
      <c r="AK44" s="339"/>
      <c r="AL44" s="339"/>
      <c r="AM44" s="339"/>
      <c r="AN44" s="339"/>
      <c r="AO44" s="339"/>
      <c r="AP44" s="339"/>
      <c r="AQ44" s="339"/>
      <c r="AR44" s="339"/>
      <c r="AS44" s="339"/>
    </row>
    <row r="45" spans="2:45" ht="18" customHeight="1">
      <c r="B45" s="211"/>
      <c r="C45" s="392"/>
      <c r="D45" s="393"/>
      <c r="E45" s="866"/>
      <c r="F45" s="394"/>
      <c r="G45" s="398"/>
      <c r="H45" s="862"/>
      <c r="I45" s="398"/>
      <c r="J45" s="396"/>
      <c r="K45" s="397"/>
      <c r="L45" s="398"/>
      <c r="M45" s="850"/>
      <c r="N45" s="396"/>
      <c r="O45" s="396"/>
      <c r="P45" s="396"/>
      <c r="Q45" s="823"/>
      <c r="R45" s="398"/>
      <c r="S45" s="850"/>
      <c r="T45" s="399"/>
      <c r="U45" s="400"/>
      <c r="V45" s="399"/>
      <c r="W45" s="401"/>
      <c r="X45" s="401"/>
      <c r="Y45" s="402"/>
      <c r="Z45" s="403"/>
      <c r="AA45" s="861"/>
      <c r="AB45" s="399"/>
      <c r="AC45" s="863"/>
      <c r="AD45" s="404"/>
      <c r="AE45" s="405"/>
      <c r="AF45" s="396"/>
      <c r="AG45" s="406"/>
      <c r="AH45" s="1055"/>
      <c r="AI45" s="412"/>
      <c r="AJ45"/>
      <c r="AK45" s="339"/>
      <c r="AL45" s="339"/>
      <c r="AM45" s="339"/>
      <c r="AN45" s="339"/>
      <c r="AO45" s="339"/>
      <c r="AP45" s="339"/>
      <c r="AQ45" s="339"/>
      <c r="AR45" s="339"/>
      <c r="AS45" s="339"/>
    </row>
    <row r="46" spans="2:45" ht="18" customHeight="1">
      <c r="B46" s="211"/>
      <c r="C46" s="392"/>
      <c r="D46" s="393"/>
      <c r="E46" s="866"/>
      <c r="F46" s="394"/>
      <c r="G46" s="398"/>
      <c r="H46" s="862"/>
      <c r="I46" s="398"/>
      <c r="J46" s="396"/>
      <c r="K46" s="397"/>
      <c r="L46" s="398"/>
      <c r="M46" s="850"/>
      <c r="N46" s="396"/>
      <c r="O46" s="396"/>
      <c r="P46" s="396"/>
      <c r="Q46" s="823"/>
      <c r="R46" s="398"/>
      <c r="S46" s="850"/>
      <c r="T46" s="399"/>
      <c r="U46" s="400"/>
      <c r="V46" s="399"/>
      <c r="W46" s="401"/>
      <c r="X46" s="401"/>
      <c r="Y46" s="402"/>
      <c r="Z46" s="403"/>
      <c r="AA46" s="861"/>
      <c r="AB46" s="399"/>
      <c r="AC46" s="863"/>
      <c r="AD46" s="404"/>
      <c r="AE46" s="405"/>
      <c r="AF46" s="396"/>
      <c r="AG46" s="406"/>
      <c r="AH46" s="414"/>
      <c r="AI46" s="412"/>
      <c r="AJ46"/>
      <c r="AK46" s="339"/>
      <c r="AL46" s="339"/>
      <c r="AM46" s="339"/>
      <c r="AN46" s="339"/>
      <c r="AO46" s="339"/>
      <c r="AP46" s="339"/>
      <c r="AQ46" s="339"/>
      <c r="AR46" s="339"/>
      <c r="AS46" s="339"/>
    </row>
    <row r="47" spans="2:45" ht="18" customHeight="1">
      <c r="B47" s="211"/>
      <c r="C47" s="392"/>
      <c r="D47" s="393"/>
      <c r="E47" s="866"/>
      <c r="F47" s="394"/>
      <c r="G47" s="398"/>
      <c r="H47" s="862"/>
      <c r="I47" s="398"/>
      <c r="J47" s="396"/>
      <c r="K47" s="397"/>
      <c r="L47" s="398"/>
      <c r="M47" s="850"/>
      <c r="N47" s="396"/>
      <c r="O47" s="396"/>
      <c r="P47" s="396"/>
      <c r="Q47" s="823"/>
      <c r="R47" s="398"/>
      <c r="S47" s="850"/>
      <c r="T47" s="399"/>
      <c r="U47" s="400"/>
      <c r="V47" s="399"/>
      <c r="W47" s="401"/>
      <c r="X47" s="401"/>
      <c r="Y47" s="402"/>
      <c r="Z47" s="403"/>
      <c r="AA47" s="861"/>
      <c r="AB47" s="399"/>
      <c r="AC47" s="863"/>
      <c r="AD47" s="404"/>
      <c r="AE47" s="405"/>
      <c r="AF47" s="396"/>
      <c r="AG47" s="406"/>
      <c r="AH47" s="413"/>
      <c r="AI47" s="412"/>
      <c r="AJ47"/>
      <c r="AK47" s="339"/>
      <c r="AL47" s="339"/>
      <c r="AM47" s="339"/>
      <c r="AN47" s="339"/>
      <c r="AO47" s="339"/>
      <c r="AP47" s="339"/>
      <c r="AQ47" s="339"/>
      <c r="AR47" s="339"/>
      <c r="AS47" s="339"/>
    </row>
    <row r="48" spans="2:45" ht="18" customHeight="1">
      <c r="B48" s="211"/>
      <c r="C48" s="392"/>
      <c r="D48" s="393"/>
      <c r="E48" s="866"/>
      <c r="F48" s="394"/>
      <c r="G48" s="398"/>
      <c r="H48" s="862"/>
      <c r="I48" s="398"/>
      <c r="J48" s="396"/>
      <c r="K48" s="397"/>
      <c r="L48" s="398"/>
      <c r="M48" s="850"/>
      <c r="N48" s="396"/>
      <c r="O48" s="396"/>
      <c r="P48" s="396"/>
      <c r="Q48" s="823"/>
      <c r="R48" s="398"/>
      <c r="S48" s="850"/>
      <c r="T48" s="399"/>
      <c r="U48" s="400"/>
      <c r="V48" s="399"/>
      <c r="W48" s="401"/>
      <c r="X48" s="401"/>
      <c r="Y48" s="402"/>
      <c r="Z48" s="403"/>
      <c r="AA48" s="861"/>
      <c r="AB48" s="399"/>
      <c r="AC48" s="863"/>
      <c r="AD48" s="404"/>
      <c r="AE48" s="405"/>
      <c r="AF48" s="396"/>
      <c r="AG48" s="406"/>
      <c r="AH48" s="413"/>
      <c r="AI48" s="412"/>
      <c r="AJ48"/>
      <c r="AK48" s="339"/>
      <c r="AL48" s="339"/>
      <c r="AM48" s="339"/>
      <c r="AN48" s="339"/>
      <c r="AO48" s="339"/>
      <c r="AP48" s="339"/>
      <c r="AQ48" s="339"/>
      <c r="AR48" s="339"/>
      <c r="AS48" s="339"/>
    </row>
    <row r="49" spans="2:45" ht="18" customHeight="1">
      <c r="B49" s="211"/>
      <c r="C49" s="392"/>
      <c r="D49" s="393"/>
      <c r="E49" s="866"/>
      <c r="F49" s="394"/>
      <c r="G49" s="398"/>
      <c r="H49" s="862"/>
      <c r="I49" s="395"/>
      <c r="J49" s="396"/>
      <c r="K49" s="397"/>
      <c r="L49" s="398"/>
      <c r="M49" s="850"/>
      <c r="N49" s="396"/>
      <c r="O49" s="396"/>
      <c r="P49" s="396"/>
      <c r="Q49" s="823"/>
      <c r="R49" s="398"/>
      <c r="S49" s="850"/>
      <c r="T49" s="399"/>
      <c r="U49" s="400"/>
      <c r="V49" s="399"/>
      <c r="W49" s="401"/>
      <c r="X49" s="401"/>
      <c r="Y49" s="402"/>
      <c r="Z49" s="403"/>
      <c r="AA49" s="861"/>
      <c r="AB49" s="399"/>
      <c r="AC49" s="863"/>
      <c r="AD49" s="404"/>
      <c r="AE49" s="405"/>
      <c r="AF49" s="396"/>
      <c r="AG49" s="406"/>
      <c r="AH49" s="413"/>
      <c r="AI49" s="412"/>
      <c r="AJ49"/>
      <c r="AK49" s="339"/>
      <c r="AL49" s="339"/>
      <c r="AM49" s="339"/>
      <c r="AN49" s="339"/>
      <c r="AO49" s="339"/>
      <c r="AP49" s="339"/>
      <c r="AQ49" s="339"/>
      <c r="AR49" s="339"/>
      <c r="AS49" s="339"/>
    </row>
    <row r="50" spans="2:45" ht="18" customHeight="1">
      <c r="B50" s="211"/>
      <c r="C50" s="392"/>
      <c r="D50" s="393"/>
      <c r="E50" s="866"/>
      <c r="F50" s="394"/>
      <c r="G50" s="398"/>
      <c r="H50" s="862"/>
      <c r="I50" s="395"/>
      <c r="J50" s="396"/>
      <c r="K50" s="397"/>
      <c r="L50" s="398"/>
      <c r="M50" s="850"/>
      <c r="N50" s="396"/>
      <c r="O50" s="396"/>
      <c r="P50" s="396"/>
      <c r="Q50" s="823"/>
      <c r="R50" s="398"/>
      <c r="S50" s="850"/>
      <c r="T50" s="399"/>
      <c r="U50" s="400"/>
      <c r="V50" s="399"/>
      <c r="W50" s="401"/>
      <c r="X50" s="401"/>
      <c r="Y50" s="402"/>
      <c r="Z50" s="403"/>
      <c r="AA50" s="861"/>
      <c r="AB50" s="399"/>
      <c r="AC50" s="863"/>
      <c r="AD50" s="404"/>
      <c r="AE50" s="405"/>
      <c r="AF50" s="396"/>
      <c r="AG50" s="406"/>
      <c r="AH50" s="413"/>
      <c r="AI50" s="412"/>
      <c r="AJ50" s="339"/>
      <c r="AK50" s="339"/>
      <c r="AL50" s="339"/>
      <c r="AM50" s="339"/>
      <c r="AN50" s="339"/>
      <c r="AO50" s="339"/>
      <c r="AP50" s="339"/>
      <c r="AQ50" s="339"/>
      <c r="AR50" s="339"/>
      <c r="AS50" s="339"/>
    </row>
    <row r="51" spans="2:45" ht="18" customHeight="1" thickBot="1">
      <c r="B51" s="211"/>
      <c r="C51" s="392"/>
      <c r="D51" s="393"/>
      <c r="E51" s="866"/>
      <c r="F51" s="394"/>
      <c r="G51" s="398"/>
      <c r="H51" s="862"/>
      <c r="I51" s="395"/>
      <c r="J51" s="396"/>
      <c r="K51" s="397"/>
      <c r="L51" s="398"/>
      <c r="M51" s="850"/>
      <c r="N51" s="396"/>
      <c r="O51" s="396"/>
      <c r="P51" s="396"/>
      <c r="Q51" s="823"/>
      <c r="R51" s="398"/>
      <c r="S51" s="850"/>
      <c r="T51" s="399"/>
      <c r="U51" s="400"/>
      <c r="V51" s="399"/>
      <c r="W51" s="401"/>
      <c r="X51" s="401"/>
      <c r="Y51" s="402"/>
      <c r="Z51" s="403"/>
      <c r="AA51" s="861"/>
      <c r="AB51" s="399"/>
      <c r="AC51" s="863"/>
      <c r="AD51" s="404"/>
      <c r="AE51" s="415"/>
      <c r="AF51" s="416"/>
      <c r="AG51" s="417"/>
      <c r="AH51" s="418"/>
      <c r="AI51" s="419"/>
      <c r="AJ51" s="339"/>
      <c r="AK51" s="339"/>
      <c r="AL51" s="339"/>
      <c r="AM51" s="339"/>
      <c r="AN51" s="339"/>
      <c r="AO51" s="339"/>
      <c r="AP51" s="339"/>
      <c r="AQ51" s="339"/>
      <c r="AR51" s="339"/>
      <c r="AS51" s="339"/>
    </row>
    <row r="52" spans="2:45" ht="20.100000000000001" customHeight="1" thickTop="1">
      <c r="B52" s="420" t="s">
        <v>417</v>
      </c>
      <c r="C52" s="421">
        <f>SUM(C28:C51)</f>
        <v>0</v>
      </c>
      <c r="D52" s="422">
        <f>IFERROR(SUMPRODUCT(D28:D51,C28:C51)/C52,0)</f>
        <v>0</v>
      </c>
      <c r="E52" s="860">
        <f>SUM(E28:E51)</f>
        <v>0</v>
      </c>
      <c r="F52" s="423">
        <f>IFERROR(SUMPRODUCT(F28:F51,E28:E51)/E52,0)</f>
        <v>0</v>
      </c>
      <c r="G52" s="421">
        <f>SUM(G28:G51)</f>
        <v>0</v>
      </c>
      <c r="H52" s="422">
        <f>IFERROR(SUMPRODUCT(H28:H51,G28:G51)/G52,0)</f>
        <v>0</v>
      </c>
      <c r="I52" s="421">
        <f>SUM(I28:I51)</f>
        <v>0</v>
      </c>
      <c r="J52" s="424">
        <f>SUM(J28:J51)</f>
        <v>0</v>
      </c>
      <c r="K52" s="425">
        <f>SUM(K28:K51)</f>
        <v>0</v>
      </c>
      <c r="L52" s="421">
        <f t="shared" ref="L52:AB52" si="0">SUM(L28:L51)</f>
        <v>0</v>
      </c>
      <c r="M52" s="428">
        <f>SUM(M28:M51)</f>
        <v>0</v>
      </c>
      <c r="N52" s="426">
        <f t="shared" si="0"/>
        <v>0</v>
      </c>
      <c r="O52" s="426">
        <f t="shared" si="0"/>
        <v>0</v>
      </c>
      <c r="P52" s="428">
        <f t="shared" si="0"/>
        <v>0</v>
      </c>
      <c r="Q52" s="428">
        <f t="shared" si="0"/>
        <v>0</v>
      </c>
      <c r="R52" s="421">
        <f t="shared" si="0"/>
        <v>0</v>
      </c>
      <c r="S52" s="426">
        <f t="shared" si="0"/>
        <v>0</v>
      </c>
      <c r="T52" s="426">
        <f t="shared" si="0"/>
        <v>0</v>
      </c>
      <c r="U52" s="426">
        <f t="shared" si="0"/>
        <v>0</v>
      </c>
      <c r="V52" s="426">
        <f t="shared" si="0"/>
        <v>0</v>
      </c>
      <c r="W52" s="426">
        <f t="shared" si="0"/>
        <v>0</v>
      </c>
      <c r="X52" s="426">
        <f t="shared" si="0"/>
        <v>0</v>
      </c>
      <c r="Y52" s="428">
        <f t="shared" si="0"/>
        <v>0</v>
      </c>
      <c r="Z52" s="426">
        <f t="shared" si="0"/>
        <v>0</v>
      </c>
      <c r="AA52" s="426">
        <f t="shared" si="0"/>
        <v>0</v>
      </c>
      <c r="AB52" s="426">
        <f t="shared" si="0"/>
        <v>0</v>
      </c>
      <c r="AC52" s="429">
        <f>IFERROR(SUMPRODUCT(AC28:AC51,AB28:AB51)/AB52,0)</f>
        <v>0</v>
      </c>
      <c r="AD52" s="427">
        <f>SUM(AD28:AD51)</f>
        <v>0</v>
      </c>
      <c r="AE52" s="430">
        <f>SUM(AE28:AE51)</f>
        <v>0</v>
      </c>
      <c r="AF52" s="426">
        <f>SUM(AF28:AF51)</f>
        <v>0</v>
      </c>
      <c r="AG52" s="431">
        <f>IFERROR(AVERAGE(AG28:AG51),0)</f>
        <v>0</v>
      </c>
      <c r="AH52" s="845"/>
      <c r="AI52" s="846"/>
      <c r="AJ52" s="339"/>
      <c r="AK52" s="339"/>
      <c r="AL52" s="339"/>
      <c r="AM52" s="339"/>
      <c r="AN52" s="339"/>
      <c r="AO52" s="339"/>
      <c r="AP52" s="339"/>
      <c r="AQ52" s="339"/>
      <c r="AR52" s="339"/>
      <c r="AS52" s="339"/>
    </row>
    <row r="53" spans="2:45" ht="20.100000000000001" customHeight="1">
      <c r="B53" s="432" t="s">
        <v>418</v>
      </c>
      <c r="C53" s="433"/>
      <c r="D53" s="434">
        <f>C52*D52</f>
        <v>0</v>
      </c>
      <c r="E53" s="435"/>
      <c r="F53" s="436">
        <f>E52*F52</f>
        <v>0</v>
      </c>
      <c r="G53" s="437"/>
      <c r="H53" s="438">
        <f>G52*H52</f>
        <v>0</v>
      </c>
      <c r="I53" s="439"/>
      <c r="J53" s="440"/>
      <c r="K53" s="441"/>
      <c r="L53" s="852"/>
      <c r="M53" s="824"/>
      <c r="N53" s="440"/>
      <c r="O53" s="440"/>
      <c r="P53" s="445"/>
      <c r="Q53" s="824"/>
      <c r="R53" s="442"/>
      <c r="S53" s="847"/>
      <c r="T53" s="443"/>
      <c r="U53" s="444"/>
      <c r="V53" s="445"/>
      <c r="W53" s="446"/>
      <c r="X53" s="446"/>
      <c r="Y53" s="446"/>
      <c r="Z53" s="445"/>
      <c r="AA53" s="446"/>
      <c r="AB53" s="446"/>
      <c r="AC53" s="447">
        <f>AB52*AC52</f>
        <v>0</v>
      </c>
      <c r="AD53" s="448"/>
      <c r="AE53" s="435"/>
      <c r="AF53" s="449"/>
      <c r="AG53" s="448"/>
      <c r="AH53" s="847"/>
      <c r="AI53" s="848"/>
      <c r="AJ53" s="339"/>
      <c r="AK53" s="339"/>
      <c r="AL53" s="339"/>
      <c r="AM53" s="339"/>
      <c r="AN53" s="339"/>
      <c r="AO53" s="339"/>
      <c r="AP53" s="339"/>
      <c r="AQ53" s="339"/>
      <c r="AR53" s="339"/>
      <c r="AS53" s="339"/>
    </row>
    <row r="54" spans="2:45" s="339" customFormat="1" ht="20.100000000000001" customHeight="1">
      <c r="B54" s="450" t="s">
        <v>405</v>
      </c>
      <c r="C54" s="451"/>
      <c r="D54" s="452">
        <f>D53*Reference!D16/1000000</f>
        <v>0</v>
      </c>
      <c r="E54" s="453"/>
      <c r="F54" s="454">
        <f>F53*Reference!D16/1000000</f>
        <v>0</v>
      </c>
      <c r="G54" s="455"/>
      <c r="H54" s="456">
        <f>H53*Reference!$D$16/10^6</f>
        <v>0</v>
      </c>
      <c r="I54" s="457"/>
      <c r="J54" s="458">
        <f>J52</f>
        <v>0</v>
      </c>
      <c r="K54" s="459"/>
      <c r="L54" s="455"/>
      <c r="M54" s="856"/>
      <c r="N54" s="458">
        <f>N52</f>
        <v>0</v>
      </c>
      <c r="O54" s="458">
        <f>O52</f>
        <v>0</v>
      </c>
      <c r="P54" s="826"/>
      <c r="Q54" s="825"/>
      <c r="R54" s="460">
        <f>R52</f>
        <v>0</v>
      </c>
      <c r="S54" s="463"/>
      <c r="T54" s="461">
        <f>T52</f>
        <v>0</v>
      </c>
      <c r="U54" s="462"/>
      <c r="V54" s="463"/>
      <c r="W54" s="464"/>
      <c r="X54" s="464"/>
      <c r="Y54" s="465"/>
      <c r="Z54" s="463"/>
      <c r="AA54" s="465"/>
      <c r="AB54" s="465"/>
      <c r="AC54" s="466">
        <f>AC53*Reference!$D$16/10^6</f>
        <v>0</v>
      </c>
      <c r="AD54" s="467">
        <f>AD52</f>
        <v>0</v>
      </c>
      <c r="AE54" s="468">
        <f>AE52</f>
        <v>0</v>
      </c>
      <c r="AF54" s="469"/>
      <c r="AG54" s="470"/>
      <c r="AH54" s="1060" t="s">
        <v>419</v>
      </c>
      <c r="AI54" s="1061"/>
    </row>
    <row r="55" spans="2:45" s="339" customFormat="1" ht="20.100000000000001" customHeight="1">
      <c r="B55" s="450" t="s">
        <v>406</v>
      </c>
      <c r="C55" s="471"/>
      <c r="D55" s="456">
        <f>D53*Reference!$C$16/1000000</f>
        <v>0</v>
      </c>
      <c r="E55" s="472"/>
      <c r="F55" s="473">
        <f>F53*Reference!$C$16/1000000</f>
        <v>0</v>
      </c>
      <c r="G55" s="455"/>
      <c r="H55" s="456">
        <f>H53*Reference!$C$16/1000000</f>
        <v>0</v>
      </c>
      <c r="I55" s="474"/>
      <c r="J55" s="475">
        <f>J54*Reference!F15</f>
        <v>0</v>
      </c>
      <c r="K55" s="476"/>
      <c r="L55" s="477">
        <f>L52</f>
        <v>0</v>
      </c>
      <c r="M55" s="473">
        <f>M52</f>
        <v>0</v>
      </c>
      <c r="N55" s="475">
        <f>N54*Reference!F16</f>
        <v>0</v>
      </c>
      <c r="O55" s="475">
        <f>O52*Reference!F15</f>
        <v>0</v>
      </c>
      <c r="P55" s="463"/>
      <c r="Q55" s="473">
        <f>Q52</f>
        <v>0</v>
      </c>
      <c r="R55" s="477">
        <f>R54*Reference!$C$15/Reference!$D$15</f>
        <v>0</v>
      </c>
      <c r="S55" s="461">
        <f>S52</f>
        <v>0</v>
      </c>
      <c r="T55" s="461">
        <f>T54*Reference!$F$16</f>
        <v>0</v>
      </c>
      <c r="U55" s="462"/>
      <c r="V55" s="463"/>
      <c r="W55" s="464"/>
      <c r="X55" s="617">
        <f>X52</f>
        <v>0</v>
      </c>
      <c r="Y55" s="465"/>
      <c r="Z55" s="463"/>
      <c r="AA55" s="617">
        <f>AA52</f>
        <v>0</v>
      </c>
      <c r="AB55" s="465"/>
      <c r="AC55" s="466">
        <f>AC53*Reference!$C$16/1000000</f>
        <v>0</v>
      </c>
      <c r="AD55" s="478">
        <f>AD52*Reference!F16</f>
        <v>0</v>
      </c>
      <c r="AE55" s="479">
        <f>AE54*Reference!F16</f>
        <v>0</v>
      </c>
      <c r="AF55" s="463"/>
      <c r="AG55" s="480"/>
      <c r="AH55" s="1062">
        <f>IF(AA52&gt;0,MAX(IFERROR(1-((AD55+AE55+AC55+T55+N55)/H55),0),0.0235), MAX(IFERROR(1-((AD55+AE55+AC55+T55+N55)/H55),0),0.02))</f>
        <v>0.02</v>
      </c>
      <c r="AI55" s="1063"/>
    </row>
    <row r="56" spans="2:45" s="339" customFormat="1" ht="20.100000000000001" customHeight="1">
      <c r="B56" s="481" t="s">
        <v>420</v>
      </c>
      <c r="C56" s="482"/>
      <c r="D56" s="483"/>
      <c r="E56" s="482"/>
      <c r="F56" s="484"/>
      <c r="G56" s="482"/>
      <c r="H56" s="483"/>
      <c r="I56" s="485" t="s">
        <v>421</v>
      </c>
      <c r="J56" s="486" t="s">
        <v>422</v>
      </c>
      <c r="K56" s="487" t="s">
        <v>423</v>
      </c>
      <c r="L56" s="485" t="str">
        <f>K56</f>
        <v>gCO2e/kWh</v>
      </c>
      <c r="M56" s="486" t="s">
        <v>422</v>
      </c>
      <c r="N56" s="486" t="s">
        <v>422</v>
      </c>
      <c r="O56" s="486" t="s">
        <v>422</v>
      </c>
      <c r="P56" s="486" t="str">
        <f>I56</f>
        <v>gCO2e/gallon</v>
      </c>
      <c r="Q56" s="486" t="str">
        <f>VLOOKUP(Q27,'EF Table'!C76:E82, 3, FALSE)</f>
        <v>gCO2e/MJ</v>
      </c>
      <c r="R56" s="488" t="s">
        <v>422</v>
      </c>
      <c r="S56" s="489" t="s">
        <v>422</v>
      </c>
      <c r="T56" s="489" t="s">
        <v>422</v>
      </c>
      <c r="U56" s="490" t="s">
        <v>423</v>
      </c>
      <c r="V56" s="486" t="s">
        <v>424</v>
      </c>
      <c r="W56" s="491" t="s">
        <v>421</v>
      </c>
      <c r="X56" s="486" t="str">
        <f>VLOOKUP(X27,'EF Table'!C76:E82, 3, FALSE)</f>
        <v>gCO2e/MJ</v>
      </c>
      <c r="Y56" s="486"/>
      <c r="Z56" s="486"/>
      <c r="AA56" s="486" t="str">
        <f>VLOOKUP(AA27,'EF Table'!C76:E82, 3, FALSE)</f>
        <v>gCO2e/MJ</v>
      </c>
      <c r="AB56" s="490"/>
      <c r="AC56" s="490" t="s">
        <v>422</v>
      </c>
      <c r="AD56" s="487"/>
      <c r="AE56" s="489"/>
      <c r="AF56" s="490"/>
      <c r="AG56" s="492"/>
      <c r="AH56" s="994" t="s">
        <v>425</v>
      </c>
      <c r="AI56" s="995"/>
    </row>
    <row r="57" spans="2:45" s="339" customFormat="1" ht="20.100000000000001" customHeight="1">
      <c r="B57" s="481" t="s">
        <v>426</v>
      </c>
      <c r="C57" s="493"/>
      <c r="D57" s="494"/>
      <c r="E57" s="493"/>
      <c r="F57" s="495"/>
      <c r="G57" s="496"/>
      <c r="H57" s="494"/>
      <c r="I57" s="497">
        <f>'EF Table'!D76</f>
        <v>12308.3541997418</v>
      </c>
      <c r="J57" s="498">
        <f>'EF Table'!D77</f>
        <v>75495.751250270798</v>
      </c>
      <c r="K57" s="499">
        <f>VLOOKUP(D24,'EF Table'!D4:E34,2,FALSE)</f>
        <v>329.31550896542899</v>
      </c>
      <c r="L57" s="497">
        <f>VLOOKUP(D24,'EF Table'!D4:E34,2,FALSE)</f>
        <v>329.31550896542899</v>
      </c>
      <c r="M57" s="851">
        <f>'EF Table'!D62*Reference!H45</f>
        <v>60403.800714157704</v>
      </c>
      <c r="N57" s="498">
        <f>'EF Table'!I52*Reference!H45</f>
        <v>59501.074964157706</v>
      </c>
      <c r="O57" s="498">
        <f>'EF Table'!D77</f>
        <v>75495.751250270798</v>
      </c>
      <c r="P57" s="498">
        <f>'EF Table'!D76</f>
        <v>12308.3541997418</v>
      </c>
      <c r="Q57" s="498">
        <f>VLOOKUP(Q27,'EF Table'!C76:E82, 2, FALSE)</f>
        <v>0</v>
      </c>
      <c r="R57" s="497">
        <f>'EF Table'!D77</f>
        <v>75495.751250270798</v>
      </c>
      <c r="S57" s="851">
        <f>'EF Table'!D62*Reference!H45</f>
        <v>60403.800714157704</v>
      </c>
      <c r="T57" s="500">
        <f>'EF Table'!$I$52*Reference!$H$45</f>
        <v>59501.074964157706</v>
      </c>
      <c r="U57" s="867">
        <f>'EF Table'!$D$72</f>
        <v>641.42841673741543</v>
      </c>
      <c r="V57" s="498">
        <f>VLOOKUP(D24,'EF Table'!D4:E34,2,FALSE)</f>
        <v>329.31550896542899</v>
      </c>
      <c r="W57" s="501">
        <f>'EF Table'!D76</f>
        <v>12308.3541997418</v>
      </c>
      <c r="X57" s="498">
        <f>VLOOKUP(X27,'EF Table'!C76:E82, 2, FALSE)</f>
        <v>0</v>
      </c>
      <c r="Y57" s="498"/>
      <c r="Z57" s="498"/>
      <c r="AA57" s="498">
        <f>VLOOKUP(AA27,'EF Table'!C76:E82, 2, FALSE)</f>
        <v>0</v>
      </c>
      <c r="AB57" s="502"/>
      <c r="AC57" s="498">
        <f>'EF Table'!D62*Reference!H45</f>
        <v>60403.800714157704</v>
      </c>
      <c r="AD57" s="503"/>
      <c r="AE57" s="504"/>
      <c r="AF57" s="505"/>
      <c r="AG57" s="503"/>
      <c r="AH57" s="996"/>
      <c r="AI57" s="997"/>
    </row>
    <row r="58" spans="2:45" s="339" customFormat="1" ht="20.100000000000001" customHeight="1" thickBot="1">
      <c r="B58" s="506" t="s">
        <v>427</v>
      </c>
      <c r="C58" s="507"/>
      <c r="D58" s="508"/>
      <c r="E58" s="509"/>
      <c r="F58" s="509"/>
      <c r="G58" s="507"/>
      <c r="H58" s="508"/>
      <c r="I58" s="853"/>
      <c r="J58" s="854"/>
      <c r="K58" s="511"/>
      <c r="L58" s="853"/>
      <c r="M58" s="854"/>
      <c r="N58" s="854"/>
      <c r="O58" s="827"/>
      <c r="P58" s="827"/>
      <c r="Q58" s="510"/>
      <c r="R58" s="512">
        <f>R55*R57</f>
        <v>0</v>
      </c>
      <c r="S58" s="513"/>
      <c r="T58" s="513">
        <f>T52*T57</f>
        <v>0</v>
      </c>
      <c r="U58" s="514"/>
      <c r="V58" s="514"/>
      <c r="W58" s="513"/>
      <c r="X58" s="513"/>
      <c r="Y58" s="513"/>
      <c r="Z58" s="514"/>
      <c r="AA58" s="513"/>
      <c r="AB58" s="513"/>
      <c r="AC58" s="513"/>
      <c r="AD58" s="515"/>
      <c r="AE58" s="516"/>
      <c r="AF58" s="517"/>
      <c r="AG58" s="515"/>
      <c r="AH58" s="998">
        <f>AD55*(1-AH34*'EF Table'!F37)</f>
        <v>0</v>
      </c>
      <c r="AI58" s="999"/>
      <c r="AK58" s="122"/>
      <c r="AL58" s="122"/>
    </row>
    <row r="59" spans="2:45" s="339" customFormat="1">
      <c r="H59" s="518"/>
      <c r="I59" s="518"/>
      <c r="J59" s="518"/>
      <c r="K59" s="518"/>
      <c r="L59" s="518"/>
      <c r="M59" s="518"/>
      <c r="N59" s="518"/>
      <c r="O59" s="519"/>
      <c r="P59" s="518"/>
      <c r="Q59" s="518"/>
      <c r="R59" s="520"/>
      <c r="S59" s="520"/>
      <c r="X59" s="521"/>
      <c r="Y59" s="522"/>
      <c r="AG59" s="523"/>
      <c r="AH59" s="523"/>
      <c r="AI59" s="524"/>
      <c r="AK59" s="561"/>
      <c r="AL59" s="561"/>
    </row>
    <row r="60" spans="2:45" s="532" customFormat="1" ht="15.75" thickBot="1">
      <c r="B60" s="312"/>
      <c r="C60" s="312"/>
      <c r="D60" s="312"/>
      <c r="E60" s="312"/>
      <c r="F60" s="312"/>
      <c r="G60" s="525"/>
      <c r="H60" s="526"/>
      <c r="I60" s="527"/>
      <c r="J60" s="526"/>
      <c r="K60" s="526"/>
      <c r="L60" s="526"/>
      <c r="M60" s="526"/>
      <c r="N60" s="526"/>
      <c r="O60" s="526"/>
      <c r="P60" s="526"/>
      <c r="Q60" s="526"/>
      <c r="R60" s="528"/>
      <c r="S60" s="528"/>
      <c r="T60" s="528"/>
      <c r="U60" s="528"/>
      <c r="V60" s="528"/>
      <c r="W60" s="528"/>
      <c r="X60" s="528"/>
      <c r="Y60" s="528"/>
      <c r="Z60" s="528"/>
      <c r="AA60" s="529"/>
      <c r="AB60" s="530"/>
      <c r="AC60" s="531"/>
      <c r="AD60" s="531"/>
      <c r="AE60" s="531"/>
      <c r="AF60" s="531"/>
      <c r="AG60" s="528"/>
      <c r="AH60" s="528"/>
      <c r="AI60" s="528"/>
      <c r="AJ60" s="339"/>
      <c r="AK60" s="560"/>
      <c r="AL60" s="560"/>
      <c r="AM60" s="339"/>
      <c r="AN60" s="339"/>
      <c r="AO60" s="339"/>
      <c r="AP60" s="339"/>
      <c r="AQ60" s="339"/>
      <c r="AR60" s="339"/>
      <c r="AS60" s="339"/>
    </row>
    <row r="61" spans="2:45" s="538" customFormat="1" ht="25.5" customHeight="1" thickBot="1">
      <c r="B61" s="930" t="s">
        <v>428</v>
      </c>
      <c r="C61" s="931"/>
      <c r="D61" s="931"/>
      <c r="E61" s="931"/>
      <c r="F61" s="931"/>
      <c r="G61" s="932"/>
      <c r="H61" s="533"/>
      <c r="I61" s="534"/>
      <c r="J61" s="533"/>
      <c r="K61" s="533"/>
      <c r="L61" s="533"/>
      <c r="M61" s="533"/>
      <c r="N61" s="533"/>
      <c r="O61" s="533"/>
      <c r="P61" s="533"/>
      <c r="Q61" s="533"/>
      <c r="R61" s="533"/>
      <c r="S61" s="533"/>
      <c r="T61" s="533"/>
      <c r="U61" s="533"/>
      <c r="V61" s="533"/>
      <c r="W61" s="533"/>
      <c r="X61" s="533"/>
      <c r="Y61" s="533"/>
      <c r="Z61" s="535"/>
      <c r="AA61" s="535"/>
      <c r="AB61" s="536"/>
      <c r="AC61" s="537"/>
      <c r="AD61" s="537"/>
      <c r="AE61" s="537"/>
      <c r="AF61" s="537"/>
      <c r="AG61" s="535"/>
      <c r="AH61" s="535"/>
      <c r="AI61" s="535"/>
      <c r="AJ61" s="339"/>
      <c r="AK61" s="560"/>
      <c r="AL61" s="560"/>
      <c r="AM61" s="339"/>
      <c r="AN61" s="339"/>
      <c r="AO61" s="339"/>
      <c r="AP61" s="339"/>
      <c r="AQ61" s="339"/>
      <c r="AR61" s="339"/>
      <c r="AS61" s="339"/>
    </row>
    <row r="62" spans="2:45" s="548" customFormat="1" ht="22.5" customHeight="1">
      <c r="B62" s="539"/>
      <c r="C62" s="540"/>
      <c r="D62" s="540"/>
      <c r="E62" s="540"/>
      <c r="F62" s="541"/>
      <c r="G62" s="542"/>
      <c r="H62" s="543"/>
      <c r="I62" s="543"/>
      <c r="J62" s="543"/>
      <c r="K62" s="543"/>
      <c r="L62" s="543"/>
      <c r="M62" s="543"/>
      <c r="N62" s="543"/>
      <c r="O62" s="543"/>
      <c r="P62" s="543"/>
      <c r="Q62" s="543"/>
      <c r="R62" s="543"/>
      <c r="S62" s="543"/>
      <c r="T62" s="543"/>
      <c r="U62" s="543"/>
      <c r="V62" s="543"/>
      <c r="W62" s="543"/>
      <c r="X62" s="543"/>
      <c r="Y62" s="543"/>
      <c r="Z62" s="543"/>
      <c r="AA62" s="543"/>
      <c r="AB62" s="544"/>
      <c r="AC62" s="545"/>
      <c r="AD62" s="545"/>
      <c r="AE62" s="545"/>
      <c r="AF62" s="545"/>
      <c r="AG62" s="543"/>
      <c r="AH62" s="543"/>
      <c r="AI62" s="546"/>
      <c r="AJ62" s="339"/>
      <c r="AK62" s="560"/>
      <c r="AL62" s="560"/>
      <c r="AM62" s="122"/>
      <c r="AN62" s="547"/>
      <c r="AO62" s="538"/>
      <c r="AP62" s="538"/>
    </row>
    <row r="63" spans="2:45" s="548" customFormat="1" ht="25.5" customHeight="1">
      <c r="B63" s="549" t="s">
        <v>429</v>
      </c>
      <c r="C63" s="550"/>
      <c r="D63" s="550"/>
      <c r="E63" s="551" t="s">
        <v>430</v>
      </c>
      <c r="F63" s="552" t="s">
        <v>431</v>
      </c>
      <c r="G63" s="553" t="s">
        <v>432</v>
      </c>
      <c r="I63" s="554"/>
      <c r="J63" s="554"/>
      <c r="K63" s="555"/>
      <c r="L63" s="555"/>
      <c r="M63" s="555"/>
      <c r="N63" s="556"/>
      <c r="O63" s="555"/>
      <c r="P63" s="555"/>
      <c r="Q63" s="555"/>
      <c r="AB63" s="557"/>
      <c r="AC63" s="558"/>
      <c r="AD63" s="558"/>
      <c r="AE63" s="558"/>
      <c r="AF63" s="558"/>
      <c r="AG63" s="557"/>
      <c r="AH63" s="557"/>
      <c r="AI63" s="559"/>
      <c r="AJ63" s="560"/>
      <c r="AK63" s="560"/>
      <c r="AL63" s="560"/>
      <c r="AM63" s="561"/>
      <c r="AN63" s="562"/>
    </row>
    <row r="64" spans="2:45" s="548" customFormat="1" ht="30" customHeight="1">
      <c r="B64" s="859" t="str">
        <f>D24</f>
        <v>CAMX</v>
      </c>
      <c r="C64" s="1048" t="s">
        <v>433</v>
      </c>
      <c r="D64" s="563" t="s">
        <v>434</v>
      </c>
      <c r="E64" s="564">
        <f>IF(I52&gt;P52,0,P52-I52)*I57</f>
        <v>0</v>
      </c>
      <c r="F64" s="565">
        <f t="shared" ref="F64:F69" si="1">IFERROR(E64/$AH$58,0)</f>
        <v>0</v>
      </c>
      <c r="G64" s="566">
        <f>F64/Reference!$H$45</f>
        <v>0</v>
      </c>
      <c r="I64" s="554"/>
      <c r="J64" s="554"/>
      <c r="K64" s="554"/>
      <c r="L64" s="554"/>
      <c r="M64" s="554"/>
      <c r="N64" s="554"/>
      <c r="O64" s="554"/>
      <c r="P64" s="554"/>
      <c r="Q64" s="554"/>
      <c r="R64" s="554"/>
      <c r="S64" s="554"/>
      <c r="T64" s="554"/>
      <c r="U64" s="554"/>
      <c r="V64" s="554"/>
      <c r="Z64" s="567"/>
      <c r="AA64" s="567"/>
      <c r="AB64" s="567"/>
      <c r="AC64" s="562"/>
      <c r="AD64" s="562"/>
      <c r="AE64" s="562"/>
      <c r="AF64" s="562"/>
      <c r="AI64" s="560"/>
      <c r="AJ64" s="560"/>
      <c r="AK64" s="560"/>
      <c r="AL64" s="560"/>
      <c r="AM64" s="560"/>
    </row>
    <row r="65" spans="2:40" s="548" customFormat="1" ht="30" customHeight="1">
      <c r="B65" s="568"/>
      <c r="C65" s="1056"/>
      <c r="D65" s="563" t="s">
        <v>435</v>
      </c>
      <c r="E65" s="569">
        <f>IF(K52&gt;L52,0,L52-K52)*K57</f>
        <v>0</v>
      </c>
      <c r="F65" s="565">
        <f t="shared" si="1"/>
        <v>0</v>
      </c>
      <c r="G65" s="566">
        <f>F65/Reference!$H$45</f>
        <v>0</v>
      </c>
      <c r="I65" s="554"/>
      <c r="J65" s="554"/>
      <c r="K65" s="554"/>
      <c r="L65" s="554"/>
      <c r="M65" s="554"/>
      <c r="N65" s="554"/>
      <c r="O65" s="554"/>
      <c r="P65" s="554"/>
      <c r="Q65" s="554"/>
      <c r="R65" s="554"/>
      <c r="S65" s="554"/>
      <c r="T65" s="554"/>
      <c r="U65" s="554"/>
      <c r="V65" s="554"/>
      <c r="Z65" s="567"/>
      <c r="AA65" s="567"/>
      <c r="AB65" s="567"/>
      <c r="AC65" s="562"/>
      <c r="AD65" s="562"/>
      <c r="AE65" s="562"/>
      <c r="AF65" s="562"/>
      <c r="AI65" s="560"/>
      <c r="AJ65" s="560"/>
      <c r="AK65" s="560"/>
      <c r="AL65" s="560"/>
      <c r="AM65" s="560"/>
    </row>
    <row r="66" spans="2:40" s="548" customFormat="1" ht="30" customHeight="1">
      <c r="B66" s="568"/>
      <c r="C66" s="1056"/>
      <c r="D66" s="563" t="s">
        <v>436</v>
      </c>
      <c r="E66" s="569">
        <f>O55*O57</f>
        <v>0</v>
      </c>
      <c r="F66" s="565">
        <f t="shared" si="1"/>
        <v>0</v>
      </c>
      <c r="G66" s="566">
        <f>F66/Reference!$H$45</f>
        <v>0</v>
      </c>
      <c r="J66" s="554"/>
      <c r="K66" s="554"/>
      <c r="L66" s="554"/>
      <c r="M66" s="554"/>
      <c r="N66" s="554"/>
      <c r="O66" s="554"/>
      <c r="P66" s="554"/>
      <c r="Q66" s="554"/>
      <c r="R66" s="554"/>
      <c r="S66" s="554"/>
      <c r="T66" s="554"/>
      <c r="U66" s="554"/>
      <c r="V66" s="554"/>
      <c r="Z66" s="567"/>
      <c r="AA66" s="567"/>
      <c r="AB66" s="567"/>
      <c r="AC66" s="562"/>
      <c r="AD66" s="562"/>
      <c r="AE66" s="562"/>
      <c r="AF66" s="562"/>
      <c r="AI66" s="560"/>
      <c r="AJ66" s="560"/>
      <c r="AK66" s="560"/>
      <c r="AL66" s="560"/>
      <c r="AM66" s="560"/>
    </row>
    <row r="67" spans="2:40" s="548" customFormat="1" ht="30" customHeight="1">
      <c r="B67" s="568"/>
      <c r="C67" s="1056"/>
      <c r="D67" s="563" t="s">
        <v>437</v>
      </c>
      <c r="E67" s="569">
        <f>M55*M57</f>
        <v>0</v>
      </c>
      <c r="F67" s="565">
        <f t="shared" si="1"/>
        <v>0</v>
      </c>
      <c r="G67" s="566">
        <f>F67/Reference!$H$45</f>
        <v>0</v>
      </c>
      <c r="J67" s="554"/>
      <c r="K67" s="554"/>
      <c r="L67" s="554"/>
      <c r="M67" s="554"/>
      <c r="N67" s="554"/>
      <c r="O67" s="554"/>
      <c r="P67" s="554"/>
      <c r="Q67" s="554"/>
      <c r="R67" s="554"/>
      <c r="S67" s="554"/>
      <c r="T67" s="554"/>
      <c r="U67" s="554"/>
      <c r="V67" s="554"/>
      <c r="Z67" s="567"/>
      <c r="AA67" s="567"/>
      <c r="AB67" s="567"/>
      <c r="AC67" s="562"/>
      <c r="AD67" s="562"/>
      <c r="AE67" s="562"/>
      <c r="AF67" s="562"/>
      <c r="AI67" s="560"/>
      <c r="AJ67" s="560"/>
      <c r="AK67" s="560"/>
      <c r="AL67" s="560"/>
      <c r="AM67" s="560"/>
    </row>
    <row r="68" spans="2:40" s="548" customFormat="1" ht="30" customHeight="1">
      <c r="B68" s="570"/>
      <c r="C68" s="1056"/>
      <c r="D68" s="563" t="s">
        <v>438</v>
      </c>
      <c r="E68" s="565">
        <f>N55*N57</f>
        <v>0</v>
      </c>
      <c r="F68" s="565">
        <f t="shared" si="1"/>
        <v>0</v>
      </c>
      <c r="G68" s="566">
        <f>F68/Reference!$H$45</f>
        <v>0</v>
      </c>
      <c r="J68" s="554"/>
      <c r="K68" s="554"/>
      <c r="L68" s="554"/>
      <c r="M68" s="554"/>
      <c r="N68" s="554"/>
      <c r="O68" s="554"/>
      <c r="P68" s="554"/>
      <c r="Q68" s="554"/>
      <c r="R68" s="554"/>
      <c r="S68" s="554"/>
      <c r="T68" s="554"/>
      <c r="U68" s="554"/>
      <c r="V68" s="554"/>
      <c r="Z68" s="571"/>
      <c r="AA68" s="571"/>
      <c r="AB68" s="572"/>
      <c r="AC68" s="573"/>
      <c r="AD68" s="573"/>
      <c r="AE68" s="573"/>
      <c r="AF68" s="573"/>
      <c r="AG68" s="574"/>
      <c r="AH68" s="574"/>
      <c r="AI68" s="575"/>
      <c r="AJ68" s="567"/>
      <c r="AK68" s="560"/>
      <c r="AL68" s="560"/>
      <c r="AM68" s="560"/>
    </row>
    <row r="69" spans="2:40" s="548" customFormat="1" ht="36" customHeight="1">
      <c r="B69" s="570"/>
      <c r="C69" s="1056"/>
      <c r="D69" s="563" t="str">
        <f>CONCATENATE(Q27, " used for digester")</f>
        <v>User-Defined Fuel-1 (MJ) used for digester</v>
      </c>
      <c r="E69" s="828">
        <f>Q55*Q57</f>
        <v>0</v>
      </c>
      <c r="F69" s="565">
        <f t="shared" si="1"/>
        <v>0</v>
      </c>
      <c r="G69" s="566">
        <f>F69/Reference!$H$45</f>
        <v>0</v>
      </c>
      <c r="J69" s="554"/>
      <c r="K69" s="554"/>
      <c r="L69" s="554"/>
      <c r="M69" s="554"/>
      <c r="N69" s="554"/>
      <c r="O69" s="554"/>
      <c r="P69" s="554"/>
      <c r="Q69" s="554"/>
      <c r="R69" s="554"/>
      <c r="S69" s="554"/>
      <c r="T69" s="554"/>
      <c r="U69" s="554"/>
      <c r="V69" s="554"/>
      <c r="Z69" s="571"/>
      <c r="AA69" s="571"/>
      <c r="AB69" s="572"/>
      <c r="AC69" s="573"/>
      <c r="AD69" s="573"/>
      <c r="AE69" s="573"/>
      <c r="AF69" s="573"/>
      <c r="AG69" s="574"/>
      <c r="AH69" s="574"/>
      <c r="AI69" s="575"/>
      <c r="AJ69" s="567"/>
      <c r="AK69" s="560"/>
      <c r="AL69" s="560"/>
      <c r="AM69" s="560"/>
    </row>
    <row r="70" spans="2:40" s="548" customFormat="1" ht="30" customHeight="1">
      <c r="B70" s="570"/>
      <c r="C70" s="1049"/>
      <c r="D70" s="1057" t="s">
        <v>439</v>
      </c>
      <c r="E70" s="1058"/>
      <c r="F70" s="1059"/>
      <c r="G70" s="576">
        <f>SUM(G64:G69)</f>
        <v>0</v>
      </c>
      <c r="J70" s="554"/>
      <c r="K70" s="554"/>
      <c r="L70" s="554"/>
      <c r="M70" s="554"/>
      <c r="N70" s="554"/>
      <c r="O70" s="554"/>
      <c r="P70" s="554"/>
      <c r="Q70" s="554"/>
      <c r="R70" s="554"/>
      <c r="S70" s="554"/>
      <c r="T70" s="554"/>
      <c r="U70" s="554"/>
      <c r="V70" s="554"/>
      <c r="Z70" s="571"/>
      <c r="AA70" s="571"/>
      <c r="AB70" s="572"/>
      <c r="AC70" s="573"/>
      <c r="AD70" s="573"/>
      <c r="AE70" s="573"/>
      <c r="AF70" s="573"/>
      <c r="AG70" s="574"/>
      <c r="AH70" s="574"/>
      <c r="AI70" s="575"/>
      <c r="AJ70" s="567"/>
      <c r="AK70" s="560"/>
      <c r="AL70" s="560"/>
      <c r="AM70" s="560"/>
    </row>
    <row r="71" spans="2:40" s="548" customFormat="1" ht="30" customHeight="1">
      <c r="B71" s="570"/>
      <c r="C71" s="1048" t="s">
        <v>440</v>
      </c>
      <c r="D71" s="577" t="s">
        <v>441</v>
      </c>
      <c r="E71" s="565">
        <f>V52*V57</f>
        <v>0</v>
      </c>
      <c r="F71" s="565">
        <f t="shared" ref="F71:F80" si="2">IFERROR(E71/$AH$58,0)</f>
        <v>0</v>
      </c>
      <c r="G71" s="566">
        <f>F71/Reference!$H$45</f>
        <v>0</v>
      </c>
      <c r="J71" s="578"/>
      <c r="K71" s="560"/>
      <c r="L71" s="560"/>
      <c r="M71" s="560"/>
      <c r="N71" s="579"/>
      <c r="O71" s="560"/>
      <c r="P71" s="560"/>
      <c r="Q71" s="560"/>
      <c r="Z71" s="580"/>
      <c r="AA71" s="580"/>
      <c r="AB71" s="581"/>
      <c r="AC71" s="582"/>
      <c r="AD71" s="582"/>
      <c r="AE71" s="582"/>
      <c r="AF71" s="582"/>
      <c r="AG71" s="583"/>
      <c r="AH71" s="583"/>
      <c r="AI71" s="584"/>
      <c r="AJ71" s="560"/>
      <c r="AK71" s="560"/>
      <c r="AL71" s="560"/>
      <c r="AM71" s="560"/>
      <c r="AN71" s="585"/>
    </row>
    <row r="72" spans="2:40" s="548" customFormat="1" ht="30" customHeight="1">
      <c r="B72" s="570"/>
      <c r="C72" s="1056"/>
      <c r="D72" s="577" t="s">
        <v>436</v>
      </c>
      <c r="E72" s="586">
        <f>R55*R57</f>
        <v>0</v>
      </c>
      <c r="F72" s="565">
        <f t="shared" si="2"/>
        <v>0</v>
      </c>
      <c r="G72" s="566">
        <f>F72/Reference!$H$45</f>
        <v>0</v>
      </c>
      <c r="J72" s="560"/>
      <c r="K72" s="560"/>
      <c r="L72" s="587"/>
      <c r="M72" s="587"/>
      <c r="N72" s="588"/>
      <c r="O72" s="560"/>
      <c r="P72" s="560"/>
      <c r="Q72" s="560"/>
      <c r="Z72" s="589"/>
      <c r="AA72" s="589"/>
      <c r="AB72" s="590"/>
      <c r="AC72" s="582"/>
      <c r="AD72" s="582"/>
      <c r="AE72" s="582"/>
      <c r="AF72" s="582"/>
      <c r="AG72" s="583"/>
      <c r="AH72" s="583"/>
      <c r="AI72" s="584"/>
      <c r="AJ72" s="560"/>
      <c r="AK72" s="560"/>
      <c r="AL72" s="560"/>
      <c r="AM72" s="560"/>
    </row>
    <row r="73" spans="2:40" s="548" customFormat="1" ht="30" customHeight="1">
      <c r="B73" s="570"/>
      <c r="C73" s="1056"/>
      <c r="D73" s="577" t="s">
        <v>442</v>
      </c>
      <c r="E73" s="586">
        <f>S55*S57</f>
        <v>0</v>
      </c>
      <c r="F73" s="565">
        <f t="shared" si="2"/>
        <v>0</v>
      </c>
      <c r="G73" s="566">
        <f>F73/Reference!$H$45</f>
        <v>0</v>
      </c>
      <c r="J73" s="560"/>
      <c r="K73" s="560"/>
      <c r="L73" s="587"/>
      <c r="M73" s="587"/>
      <c r="N73" s="588"/>
      <c r="O73" s="560"/>
      <c r="P73" s="560"/>
      <c r="Q73" s="560"/>
      <c r="Z73" s="589"/>
      <c r="AA73" s="589"/>
      <c r="AB73" s="590"/>
      <c r="AC73" s="582"/>
      <c r="AD73" s="582"/>
      <c r="AE73" s="582"/>
      <c r="AF73" s="582"/>
      <c r="AG73" s="583"/>
      <c r="AH73" s="583"/>
      <c r="AI73" s="584"/>
      <c r="AJ73" s="560"/>
      <c r="AK73" s="560"/>
      <c r="AL73" s="560"/>
      <c r="AM73" s="560"/>
    </row>
    <row r="74" spans="2:40" s="548" customFormat="1" ht="30" customHeight="1">
      <c r="B74" s="570"/>
      <c r="C74" s="1056"/>
      <c r="D74" s="577" t="s">
        <v>443</v>
      </c>
      <c r="E74" s="586">
        <f>T55*T57</f>
        <v>0</v>
      </c>
      <c r="F74" s="565">
        <f t="shared" si="2"/>
        <v>0</v>
      </c>
      <c r="G74" s="566">
        <f>F74/Reference!$H$45</f>
        <v>0</v>
      </c>
      <c r="J74" s="578"/>
      <c r="K74" s="560"/>
      <c r="L74" s="560"/>
      <c r="M74" s="560"/>
      <c r="N74" s="579"/>
      <c r="O74" s="560"/>
      <c r="P74" s="560"/>
      <c r="Q74" s="560"/>
      <c r="Z74" s="589"/>
      <c r="AA74" s="589"/>
      <c r="AB74" s="590"/>
      <c r="AC74" s="582"/>
      <c r="AD74" s="582"/>
      <c r="AE74" s="582"/>
      <c r="AF74" s="582"/>
      <c r="AG74" s="591"/>
      <c r="AH74" s="591"/>
      <c r="AI74" s="560"/>
      <c r="AJ74" s="560"/>
      <c r="AK74" s="560"/>
      <c r="AL74" s="560"/>
      <c r="AM74" s="560"/>
    </row>
    <row r="75" spans="2:40" s="548" customFormat="1" ht="30" customHeight="1">
      <c r="B75" s="570"/>
      <c r="C75" s="1056"/>
      <c r="D75" s="577" t="s">
        <v>444</v>
      </c>
      <c r="E75" s="586">
        <f>U52*U57</f>
        <v>0</v>
      </c>
      <c r="F75" s="565">
        <f t="shared" si="2"/>
        <v>0</v>
      </c>
      <c r="G75" s="566">
        <f>F75/Reference!$H$45</f>
        <v>0</v>
      </c>
      <c r="J75" s="560"/>
      <c r="K75" s="560"/>
      <c r="L75" s="592"/>
      <c r="M75" s="592"/>
      <c r="N75" s="579"/>
      <c r="O75" s="560"/>
      <c r="P75" s="560"/>
      <c r="Q75" s="560"/>
      <c r="Z75" s="593"/>
      <c r="AA75" s="593"/>
      <c r="AB75" s="583"/>
      <c r="AC75" s="594"/>
      <c r="AD75" s="594"/>
      <c r="AE75" s="594"/>
      <c r="AF75" s="594"/>
      <c r="AG75" s="591"/>
      <c r="AH75" s="591"/>
      <c r="AI75" s="560"/>
      <c r="AJ75" s="595"/>
      <c r="AK75" s="560"/>
      <c r="AL75" s="560"/>
      <c r="AM75" s="560"/>
    </row>
    <row r="76" spans="2:40" s="548" customFormat="1" ht="30" customHeight="1">
      <c r="B76" s="570"/>
      <c r="C76" s="1056"/>
      <c r="D76" s="577" t="s">
        <v>75</v>
      </c>
      <c r="E76" s="586">
        <f>W52*W57</f>
        <v>0</v>
      </c>
      <c r="F76" s="565">
        <f t="shared" si="2"/>
        <v>0</v>
      </c>
      <c r="G76" s="566">
        <f>F76/Reference!$H$45</f>
        <v>0</v>
      </c>
      <c r="J76" s="560"/>
      <c r="K76" s="560"/>
      <c r="L76" s="592"/>
      <c r="M76" s="592"/>
      <c r="N76" s="579"/>
      <c r="O76" s="560"/>
      <c r="P76" s="560"/>
      <c r="Q76" s="560"/>
      <c r="Z76" s="593"/>
      <c r="AA76" s="593"/>
      <c r="AB76" s="583"/>
      <c r="AC76" s="594"/>
      <c r="AD76" s="594"/>
      <c r="AE76" s="594"/>
      <c r="AF76" s="594"/>
      <c r="AG76" s="591"/>
      <c r="AH76" s="591"/>
      <c r="AI76" s="560"/>
      <c r="AJ76" s="595"/>
      <c r="AK76" s="560"/>
      <c r="AL76" s="560"/>
      <c r="AM76" s="560"/>
    </row>
    <row r="77" spans="2:40" s="548" customFormat="1" ht="36" customHeight="1">
      <c r="B77" s="570"/>
      <c r="C77" s="1056"/>
      <c r="D77" s="577" t="str">
        <f>CONCATENATE(X27, " used for upgrading and compression")</f>
        <v>User-Defined Fuel-2 (MJ) used for upgrading and compression</v>
      </c>
      <c r="E77" s="586">
        <f>X55*X57</f>
        <v>0</v>
      </c>
      <c r="F77" s="565">
        <f t="shared" si="2"/>
        <v>0</v>
      </c>
      <c r="G77" s="566">
        <f>F77/Reference!$H$45</f>
        <v>0</v>
      </c>
      <c r="J77" s="560"/>
      <c r="K77" s="560"/>
      <c r="L77" s="592"/>
      <c r="M77" s="592"/>
      <c r="N77" s="579"/>
      <c r="O77" s="560"/>
      <c r="P77" s="560"/>
      <c r="Q77" s="560"/>
      <c r="Z77" s="593"/>
      <c r="AA77" s="593"/>
      <c r="AB77" s="583"/>
      <c r="AC77" s="594"/>
      <c r="AD77" s="594"/>
      <c r="AE77" s="594"/>
      <c r="AF77" s="594"/>
      <c r="AG77" s="591"/>
      <c r="AH77" s="591"/>
      <c r="AI77" s="560"/>
      <c r="AJ77" s="595"/>
      <c r="AK77" s="560"/>
      <c r="AL77" s="560"/>
      <c r="AM77" s="560"/>
    </row>
    <row r="78" spans="2:40" s="548" customFormat="1" ht="36" customHeight="1">
      <c r="B78" s="570"/>
      <c r="C78" s="1056"/>
      <c r="D78" s="577" t="str">
        <f>CONCATENATE("Biomethane transported by truck (", AA27, ")")</f>
        <v>Biomethane transported by truck (User-Defined Fuel-3 (MJ))</v>
      </c>
      <c r="E78" s="586">
        <f>AA55*AA57</f>
        <v>0</v>
      </c>
      <c r="F78" s="565">
        <f t="shared" si="2"/>
        <v>0</v>
      </c>
      <c r="G78" s="566">
        <f>F78/Reference!$H$45</f>
        <v>0</v>
      </c>
      <c r="J78" s="560"/>
      <c r="K78" s="560"/>
      <c r="L78" s="592"/>
      <c r="M78" s="592"/>
      <c r="N78" s="579"/>
      <c r="O78" s="560"/>
      <c r="P78" s="560"/>
      <c r="Q78" s="560"/>
      <c r="Z78" s="593"/>
      <c r="AA78" s="593"/>
      <c r="AB78" s="583"/>
      <c r="AC78" s="594"/>
      <c r="AD78" s="594"/>
      <c r="AE78" s="594"/>
      <c r="AF78" s="594"/>
      <c r="AG78" s="591"/>
      <c r="AH78" s="591"/>
      <c r="AI78" s="560"/>
      <c r="AJ78" s="595"/>
      <c r="AK78" s="560"/>
      <c r="AL78" s="560"/>
      <c r="AM78" s="560"/>
    </row>
    <row r="79" spans="2:40" s="548" customFormat="1" ht="36" customHeight="1">
      <c r="B79" s="570"/>
      <c r="C79" s="1056"/>
      <c r="D79" s="577" t="s">
        <v>445</v>
      </c>
      <c r="E79" s="586">
        <f>AC55*AC57</f>
        <v>0</v>
      </c>
      <c r="F79" s="565">
        <f t="shared" si="2"/>
        <v>0</v>
      </c>
      <c r="G79" s="566">
        <f>F79/Reference!$H$45</f>
        <v>0</v>
      </c>
      <c r="J79" s="560"/>
      <c r="K79" s="560"/>
      <c r="L79" s="560"/>
      <c r="M79" s="560"/>
      <c r="N79" s="579"/>
      <c r="O79" s="560"/>
      <c r="P79" s="560"/>
      <c r="Q79" s="560"/>
      <c r="Z79" s="596"/>
      <c r="AA79" s="596"/>
      <c r="AB79" s="582"/>
      <c r="AC79" s="594"/>
      <c r="AD79" s="594"/>
      <c r="AE79" s="594"/>
      <c r="AF79" s="594"/>
      <c r="AG79" s="591"/>
      <c r="AH79" s="591"/>
      <c r="AI79" s="560"/>
      <c r="AJ79" s="595"/>
      <c r="AK79" s="560"/>
      <c r="AL79" s="560"/>
      <c r="AM79" s="560"/>
    </row>
    <row r="80" spans="2:40" s="548" customFormat="1" ht="36" customHeight="1">
      <c r="B80" s="570"/>
      <c r="C80" s="1056"/>
      <c r="D80" s="577" t="s">
        <v>446</v>
      </c>
      <c r="E80" s="586">
        <f>H53*AH55*Reference!E16*Reference!B20</f>
        <v>0</v>
      </c>
      <c r="F80" s="565">
        <f t="shared" si="2"/>
        <v>0</v>
      </c>
      <c r="G80" s="566">
        <f>F80/Reference!$H$45</f>
        <v>0</v>
      </c>
      <c r="J80" s="560"/>
      <c r="K80" s="560"/>
      <c r="L80" s="560"/>
      <c r="M80" s="560"/>
      <c r="N80" s="579"/>
      <c r="O80" s="560"/>
      <c r="P80" s="560"/>
      <c r="Q80" s="560"/>
      <c r="Z80" s="596"/>
      <c r="AA80" s="596"/>
      <c r="AB80" s="582"/>
      <c r="AC80" s="594"/>
      <c r="AD80" s="594"/>
      <c r="AE80" s="594"/>
      <c r="AF80" s="594"/>
      <c r="AG80" s="591"/>
      <c r="AH80" s="591"/>
      <c r="AI80" s="560"/>
      <c r="AJ80" s="595"/>
      <c r="AK80" s="560"/>
      <c r="AL80" s="560"/>
      <c r="AM80" s="560"/>
    </row>
    <row r="81" spans="2:39" s="548" customFormat="1" ht="36" customHeight="1">
      <c r="B81" s="597"/>
      <c r="C81" s="1049"/>
      <c r="D81" s="1057" t="s">
        <v>439</v>
      </c>
      <c r="E81" s="1058"/>
      <c r="F81" s="1059"/>
      <c r="G81" s="576">
        <f>SUM(G71:G80)</f>
        <v>0</v>
      </c>
      <c r="J81" s="578"/>
      <c r="K81" s="560"/>
      <c r="L81" s="560"/>
      <c r="M81" s="560"/>
      <c r="N81" s="579"/>
      <c r="O81" s="560"/>
      <c r="P81" s="560"/>
      <c r="Q81" s="560"/>
      <c r="Z81" s="596"/>
      <c r="AA81" s="596"/>
      <c r="AB81" s="582"/>
      <c r="AC81" s="594"/>
      <c r="AD81" s="594"/>
      <c r="AE81" s="594"/>
      <c r="AF81" s="594"/>
      <c r="AG81" s="591"/>
      <c r="AH81" s="591"/>
      <c r="AI81" s="560"/>
      <c r="AJ81" s="595"/>
      <c r="AK81" s="560"/>
      <c r="AL81" s="560"/>
      <c r="AM81" s="560"/>
    </row>
    <row r="82" spans="2:39" s="548" customFormat="1" ht="36" customHeight="1">
      <c r="B82" s="1046" t="s">
        <v>447</v>
      </c>
      <c r="C82" s="1048" t="s">
        <v>66</v>
      </c>
      <c r="D82" s="577" t="s">
        <v>448</v>
      </c>
      <c r="E82" s="598">
        <f>($AD$55*AH46*Reference!H45*AH40)*('EF Table'!F38+('EF Table'!F37/(Reference!C16*Reference!G45)*Reference!E16*Reference!B20))</f>
        <v>0</v>
      </c>
      <c r="F82" s="565">
        <f>IFERROR(E82/$AL$29,0)</f>
        <v>0</v>
      </c>
      <c r="G82" s="576">
        <f>F82/Reference!$H$45</f>
        <v>0</v>
      </c>
      <c r="J82" s="560"/>
      <c r="K82" s="560"/>
      <c r="L82" s="560"/>
      <c r="M82" s="560"/>
      <c r="N82" s="599"/>
      <c r="O82" s="560"/>
      <c r="P82" s="560"/>
      <c r="Q82" s="560"/>
      <c r="Z82" s="600"/>
      <c r="AA82" s="600"/>
      <c r="AC82" s="591"/>
      <c r="AD82" s="591"/>
      <c r="AE82" s="591"/>
      <c r="AF82" s="591"/>
      <c r="AG82" s="591"/>
      <c r="AH82" s="591"/>
      <c r="AI82" s="601"/>
      <c r="AJ82" s="560"/>
      <c r="AK82" s="560"/>
      <c r="AL82" s="560"/>
      <c r="AM82" s="560"/>
    </row>
    <row r="83" spans="2:39" s="548" customFormat="1" ht="36" customHeight="1">
      <c r="B83" s="1047"/>
      <c r="C83" s="1049"/>
      <c r="D83" s="577" t="s">
        <v>449</v>
      </c>
      <c r="E83" s="598">
        <f>$AD$55*Reference!H45*AH34*('EF Table'!F38+('EF Table'!F37/(Reference!C16*Reference!G45)*Reference!E16*Reference!B20))</f>
        <v>0</v>
      </c>
      <c r="F83" s="602">
        <f>IFERROR(E83/$AH$58,0)</f>
        <v>0</v>
      </c>
      <c r="G83" s="576">
        <f>F83/Reference!$H$45</f>
        <v>0</v>
      </c>
      <c r="J83" s="560"/>
      <c r="K83" s="560"/>
      <c r="L83" s="560"/>
      <c r="M83" s="560"/>
      <c r="N83" s="599"/>
      <c r="O83" s="560"/>
      <c r="P83" s="560"/>
      <c r="Q83" s="560"/>
      <c r="Z83" s="603"/>
      <c r="AA83" s="603"/>
      <c r="AB83" s="604"/>
      <c r="AG83" s="605"/>
      <c r="AH83" s="605"/>
      <c r="AI83" s="601"/>
      <c r="AJ83" s="560"/>
      <c r="AK83" s="560"/>
      <c r="AL83" s="560"/>
      <c r="AM83" s="560"/>
    </row>
    <row r="84" spans="2:39" s="548" customFormat="1" ht="20.100000000000001" customHeight="1">
      <c r="B84" s="1046"/>
      <c r="C84" s="1048" t="s">
        <v>450</v>
      </c>
      <c r="D84" s="1078" t="s">
        <v>451</v>
      </c>
      <c r="E84" s="1080">
        <f>(AD55*AH46*Reference!H45)*(AL26/(Reference!B13*Reference!G45))</f>
        <v>0</v>
      </c>
      <c r="F84" s="1084">
        <f>IFERROR(E84/$AL$29,0)</f>
        <v>0</v>
      </c>
      <c r="G84" s="1086">
        <f>F84/Reference!$H$45</f>
        <v>0</v>
      </c>
      <c r="J84" s="560"/>
      <c r="K84" s="560"/>
      <c r="L84" s="560"/>
      <c r="M84" s="560"/>
      <c r="N84" s="579"/>
      <c r="O84" s="560"/>
      <c r="P84" s="560"/>
      <c r="Q84" s="560"/>
      <c r="Z84" s="567"/>
      <c r="AA84" s="567"/>
      <c r="AB84" s="605"/>
      <c r="AC84" s="560"/>
      <c r="AD84" s="560"/>
      <c r="AE84" s="560"/>
      <c r="AF84" s="560"/>
      <c r="AG84" s="605"/>
      <c r="AH84" s="605"/>
      <c r="AI84" s="560"/>
      <c r="AJ84" s="560"/>
      <c r="AK84" s="560"/>
      <c r="AL84" s="560"/>
      <c r="AM84" s="560"/>
    </row>
    <row r="85" spans="2:39" s="548" customFormat="1" ht="20.100000000000001" customHeight="1">
      <c r="B85" s="1064"/>
      <c r="C85" s="1056"/>
      <c r="D85" s="1079"/>
      <c r="E85" s="1081"/>
      <c r="F85" s="1085"/>
      <c r="G85" s="1087"/>
      <c r="J85" s="560"/>
      <c r="K85" s="560"/>
      <c r="L85" s="560"/>
      <c r="M85" s="560"/>
      <c r="N85" s="579"/>
      <c r="O85" s="560"/>
      <c r="P85" s="560"/>
      <c r="Q85" s="560"/>
      <c r="Z85" s="567"/>
      <c r="AA85" s="567"/>
      <c r="AC85" s="606"/>
      <c r="AD85" s="606"/>
      <c r="AE85" s="606"/>
      <c r="AF85" s="606"/>
      <c r="AG85" s="560"/>
      <c r="AH85" s="560"/>
      <c r="AI85" s="601"/>
      <c r="AJ85" s="560"/>
      <c r="AK85" s="560"/>
      <c r="AL85" s="560"/>
      <c r="AM85" s="560"/>
    </row>
    <row r="86" spans="2:39" s="548" customFormat="1" ht="36" customHeight="1">
      <c r="B86" s="1064"/>
      <c r="C86" s="1049"/>
      <c r="D86" s="1057" t="s">
        <v>439</v>
      </c>
      <c r="E86" s="1058"/>
      <c r="F86" s="1059"/>
      <c r="G86" s="576">
        <f>SUM(G84:G85)</f>
        <v>0</v>
      </c>
      <c r="J86" s="560"/>
      <c r="K86" s="560"/>
      <c r="L86" s="560"/>
      <c r="M86" s="560"/>
      <c r="N86" s="579"/>
      <c r="O86" s="560"/>
      <c r="P86" s="560"/>
      <c r="Q86" s="560"/>
      <c r="Z86" s="567"/>
      <c r="AA86" s="567"/>
      <c r="AC86" s="606"/>
      <c r="AD86" s="606"/>
      <c r="AE86" s="606"/>
      <c r="AF86" s="606"/>
      <c r="AG86" s="560"/>
      <c r="AH86" s="560"/>
      <c r="AI86" s="601"/>
      <c r="AJ86" s="560"/>
      <c r="AK86" s="560"/>
      <c r="AL86" s="560"/>
      <c r="AM86" s="560"/>
    </row>
    <row r="87" spans="2:39" s="548" customFormat="1" ht="36" customHeight="1">
      <c r="B87" s="1064"/>
      <c r="C87" s="992" t="s">
        <v>452</v>
      </c>
      <c r="D87" s="577" t="s">
        <v>453</v>
      </c>
      <c r="E87" s="586">
        <f>(AD55*AH46*Reference!H45)*AL25*'EF Table'!F39</f>
        <v>0</v>
      </c>
      <c r="F87" s="565">
        <f>IFERROR(E87/$AL$29,0)</f>
        <v>0</v>
      </c>
      <c r="G87" s="566">
        <f>F87/Reference!$H$45</f>
        <v>0</v>
      </c>
      <c r="J87" s="607"/>
      <c r="K87" s="607"/>
      <c r="L87" s="560"/>
      <c r="M87" s="560"/>
      <c r="N87" s="608"/>
      <c r="O87" s="607"/>
      <c r="P87" s="607"/>
      <c r="Q87" s="607"/>
      <c r="Z87" s="567"/>
      <c r="AA87" s="567"/>
      <c r="AB87" s="567"/>
      <c r="AC87" s="567"/>
      <c r="AD87" s="567"/>
      <c r="AE87" s="567"/>
      <c r="AF87" s="567"/>
      <c r="AG87" s="560"/>
      <c r="AH87" s="560"/>
      <c r="AI87" s="601"/>
      <c r="AJ87" s="560"/>
      <c r="AK87" s="560"/>
      <c r="AL87" s="560"/>
      <c r="AM87" s="560"/>
    </row>
    <row r="88" spans="2:39" s="548" customFormat="1" ht="36" customHeight="1">
      <c r="B88" s="1064"/>
      <c r="C88" s="993"/>
      <c r="D88" s="609" t="s">
        <v>454</v>
      </c>
      <c r="E88" s="565" cm="1">
        <f t="array" ref="E88">AD55*AH46*_xlfn.IFS(AL27="Boil-Off Recovery Equipped",'EF Table'!F40,AL27="No Boil-Off Recovery",'EF Table'!F41)/(Reference!C16*Reference!G45)*Reference!E16*Reference!B20</f>
        <v>0</v>
      </c>
      <c r="F88" s="565">
        <f>IFERROR(E88/$AL$29,0)</f>
        <v>0</v>
      </c>
      <c r="G88" s="566">
        <f>F88/Reference!$H$45</f>
        <v>0</v>
      </c>
      <c r="J88" s="555"/>
      <c r="K88" s="555"/>
      <c r="L88" s="560"/>
      <c r="M88" s="560"/>
      <c r="N88" s="610"/>
      <c r="O88" s="555"/>
      <c r="P88" s="555"/>
      <c r="Q88" s="555"/>
      <c r="Z88" s="567"/>
      <c r="AA88" s="567"/>
      <c r="AB88" s="567"/>
      <c r="AC88" s="567"/>
      <c r="AD88" s="567"/>
      <c r="AE88" s="567"/>
      <c r="AF88" s="567"/>
      <c r="AG88" s="560"/>
      <c r="AH88" s="560"/>
      <c r="AI88" s="560"/>
      <c r="AJ88" s="560"/>
      <c r="AK88" s="560"/>
      <c r="AL88" s="560"/>
      <c r="AM88" s="560"/>
    </row>
    <row r="89" spans="2:39" s="548" customFormat="1" ht="36" customHeight="1">
      <c r="B89" s="1047"/>
      <c r="C89" s="550"/>
      <c r="D89" s="1057" t="s">
        <v>439</v>
      </c>
      <c r="E89" s="1058"/>
      <c r="F89" s="1059"/>
      <c r="G89" s="576">
        <f>G87+G88</f>
        <v>0</v>
      </c>
      <c r="J89" s="555"/>
      <c r="K89" s="555"/>
      <c r="L89" s="560"/>
      <c r="M89" s="560"/>
      <c r="N89" s="610"/>
      <c r="O89" s="555"/>
      <c r="P89" s="555"/>
      <c r="Q89" s="555"/>
      <c r="Z89" s="567"/>
      <c r="AA89" s="567"/>
      <c r="AB89" s="567"/>
      <c r="AC89" s="567"/>
      <c r="AD89" s="567"/>
      <c r="AE89" s="567"/>
      <c r="AF89" s="567"/>
      <c r="AG89" s="560"/>
      <c r="AH89" s="560"/>
      <c r="AI89" s="560"/>
      <c r="AJ89" s="560"/>
      <c r="AK89" s="560"/>
      <c r="AL89" s="560"/>
      <c r="AM89" s="560"/>
    </row>
    <row r="90" spans="2:39" s="548" customFormat="1" ht="36" customHeight="1">
      <c r="B90" s="549" t="s">
        <v>429</v>
      </c>
      <c r="C90" s="550"/>
      <c r="D90" s="577"/>
      <c r="E90" s="611" t="s">
        <v>430</v>
      </c>
      <c r="F90" s="552" t="s">
        <v>431</v>
      </c>
      <c r="G90" s="553" t="s">
        <v>432</v>
      </c>
      <c r="J90" s="555"/>
      <c r="K90" s="555"/>
      <c r="L90" s="555"/>
      <c r="M90" s="555"/>
      <c r="N90" s="556"/>
      <c r="O90" s="555"/>
      <c r="P90" s="555"/>
      <c r="Q90" s="555"/>
      <c r="Z90" s="567"/>
      <c r="AA90" s="567"/>
      <c r="AB90" s="567"/>
      <c r="AC90" s="567"/>
      <c r="AD90" s="567"/>
      <c r="AE90" s="567"/>
      <c r="AF90" s="567"/>
      <c r="AG90" s="560"/>
      <c r="AH90" s="560"/>
      <c r="AI90" s="560"/>
      <c r="AJ90" s="560"/>
      <c r="AK90" s="560"/>
      <c r="AL90" s="560"/>
      <c r="AM90" s="560"/>
    </row>
    <row r="91" spans="2:39" s="548" customFormat="1" ht="36" customHeight="1">
      <c r="B91" s="1046" t="s">
        <v>356</v>
      </c>
      <c r="C91" s="612" t="s">
        <v>455</v>
      </c>
      <c r="D91" s="1067" t="s">
        <v>456</v>
      </c>
      <c r="E91" s="1068"/>
      <c r="F91" s="613">
        <f>G91/Reference!D49</f>
        <v>3126.8051283761883</v>
      </c>
      <c r="G91" s="614">
        <f>'EF Table'!$F$42</f>
        <v>2.96363943991798</v>
      </c>
      <c r="J91" s="560"/>
      <c r="K91" s="560"/>
      <c r="L91" s="615"/>
      <c r="M91" s="615"/>
      <c r="N91" s="616"/>
      <c r="O91" s="560"/>
      <c r="P91" s="560"/>
      <c r="Q91" s="560"/>
      <c r="Z91" s="567"/>
      <c r="AA91" s="567"/>
      <c r="AB91" s="567"/>
      <c r="AC91" s="567"/>
      <c r="AD91" s="567"/>
      <c r="AE91" s="567"/>
      <c r="AF91" s="567"/>
      <c r="AG91" s="560"/>
      <c r="AH91" s="560"/>
      <c r="AI91" s="560"/>
      <c r="AJ91" s="560"/>
      <c r="AK91" s="560"/>
      <c r="AL91" s="560"/>
      <c r="AM91" s="560"/>
    </row>
    <row r="92" spans="2:39" s="548" customFormat="1" ht="20.100000000000001" customHeight="1">
      <c r="B92" s="1064"/>
      <c r="C92" s="1069" t="s">
        <v>457</v>
      </c>
      <c r="D92" s="1074" t="s">
        <v>458</v>
      </c>
      <c r="E92" s="1075"/>
      <c r="F92" s="1072">
        <f>(Reference!C59+Reference!C60+Reference!C61)*Reference!H45</f>
        <v>64948.852760258298</v>
      </c>
      <c r="G92" s="1082">
        <f>F92/Reference!$H$45</f>
        <v>61.559634743751531</v>
      </c>
      <c r="J92" s="560"/>
      <c r="K92" s="560"/>
      <c r="L92" s="615"/>
      <c r="M92" s="615"/>
      <c r="N92" s="616"/>
      <c r="O92" s="560"/>
      <c r="P92" s="560"/>
      <c r="Q92" s="560"/>
      <c r="Z92" s="567"/>
      <c r="AA92" s="567"/>
      <c r="AB92" s="567"/>
      <c r="AC92" s="567"/>
      <c r="AD92" s="567"/>
      <c r="AE92" s="567"/>
      <c r="AF92" s="567"/>
      <c r="AG92" s="560"/>
      <c r="AH92" s="560"/>
      <c r="AI92" s="560"/>
      <c r="AJ92" s="560"/>
      <c r="AK92" s="560"/>
      <c r="AL92" s="560"/>
      <c r="AM92" s="560"/>
    </row>
    <row r="93" spans="2:39" s="548" customFormat="1" ht="20.100000000000001" customHeight="1">
      <c r="B93" s="1064"/>
      <c r="C93" s="1070"/>
      <c r="D93" s="1076"/>
      <c r="E93" s="1077"/>
      <c r="F93" s="1073"/>
      <c r="G93" s="1083"/>
      <c r="J93" s="560"/>
      <c r="K93" s="560"/>
      <c r="L93" s="560"/>
      <c r="M93" s="560"/>
      <c r="N93" s="560"/>
      <c r="O93" s="560"/>
      <c r="P93" s="560"/>
      <c r="Q93" s="560"/>
      <c r="Z93" s="567"/>
      <c r="AA93" s="567"/>
      <c r="AB93" s="567"/>
      <c r="AC93" s="567"/>
      <c r="AD93" s="567"/>
      <c r="AE93" s="567"/>
      <c r="AF93" s="567"/>
      <c r="AG93" s="560"/>
      <c r="AH93" s="560"/>
      <c r="AI93" s="560"/>
      <c r="AJ93" s="560"/>
      <c r="AK93" s="560"/>
      <c r="AL93" s="560"/>
      <c r="AM93" s="560"/>
    </row>
    <row r="94" spans="2:39" s="548" customFormat="1" ht="36" customHeight="1">
      <c r="B94" s="1064"/>
      <c r="C94" s="1071"/>
      <c r="D94" s="1076" t="s">
        <v>459</v>
      </c>
      <c r="E94" s="1077"/>
      <c r="F94" s="617">
        <f>(Reference!E59+Reference!E60+Reference!E61)*Reference!H45</f>
        <v>64948.852760258298</v>
      </c>
      <c r="G94" s="614">
        <f>F94/Reference!$H$45</f>
        <v>61.559634743751531</v>
      </c>
      <c r="J94" s="560"/>
      <c r="K94" s="560"/>
      <c r="L94" s="560"/>
      <c r="M94" s="560"/>
      <c r="N94" s="560"/>
      <c r="O94" s="560"/>
      <c r="P94" s="560"/>
      <c r="Q94" s="560"/>
      <c r="Z94" s="567"/>
      <c r="AA94" s="567"/>
      <c r="AB94" s="605"/>
      <c r="AC94" s="605"/>
      <c r="AD94" s="605"/>
      <c r="AE94" s="605"/>
      <c r="AF94" s="605"/>
      <c r="AG94" s="560"/>
      <c r="AH94" s="560"/>
      <c r="AI94" s="560"/>
      <c r="AJ94" s="560"/>
      <c r="AK94" s="560"/>
      <c r="AL94" s="560"/>
      <c r="AM94" s="560"/>
    </row>
    <row r="95" spans="2:39" s="548" customFormat="1" ht="36" customHeight="1">
      <c r="B95" s="1065"/>
      <c r="C95" s="1088" t="s">
        <v>460</v>
      </c>
      <c r="D95" s="1089"/>
      <c r="E95" s="1090"/>
      <c r="F95" s="618" t="s">
        <v>461</v>
      </c>
      <c r="G95" s="619">
        <f xml:space="preserve"> 'Avoided Emissions'!C52</f>
        <v>0</v>
      </c>
      <c r="J95" s="560"/>
      <c r="K95" s="560"/>
      <c r="L95" s="560"/>
      <c r="M95" s="560"/>
      <c r="N95" s="560"/>
      <c r="O95" s="560"/>
      <c r="P95" s="560"/>
      <c r="Q95" s="560"/>
      <c r="Z95" s="567"/>
      <c r="AA95" s="567"/>
      <c r="AB95" s="605"/>
      <c r="AC95" s="605"/>
      <c r="AD95" s="605"/>
      <c r="AE95" s="605"/>
      <c r="AF95" s="605"/>
      <c r="AG95" s="560"/>
      <c r="AH95" s="560"/>
      <c r="AI95" s="560"/>
      <c r="AJ95" s="560"/>
      <c r="AK95" s="560"/>
      <c r="AL95" s="560"/>
      <c r="AM95" s="560"/>
    </row>
    <row r="96" spans="2:39" s="548" customFormat="1" ht="36" customHeight="1">
      <c r="B96" s="1065"/>
      <c r="C96" s="1091"/>
      <c r="D96" s="1092"/>
      <c r="E96" s="1093"/>
      <c r="F96" s="618" t="s">
        <v>462</v>
      </c>
      <c r="G96" s="619">
        <f>'Avoided Emissions'!G52</f>
        <v>0</v>
      </c>
      <c r="J96" s="560"/>
      <c r="K96" s="560"/>
      <c r="L96" s="560"/>
      <c r="M96" s="560"/>
      <c r="N96" s="560"/>
      <c r="O96" s="560"/>
      <c r="P96" s="560"/>
      <c r="Q96" s="560"/>
      <c r="Z96" s="567"/>
      <c r="AA96" s="567"/>
      <c r="AB96" s="605"/>
      <c r="AC96" s="605"/>
      <c r="AD96" s="605"/>
      <c r="AE96" s="605"/>
      <c r="AF96" s="605"/>
      <c r="AG96" s="560"/>
      <c r="AH96" s="560"/>
      <c r="AI96" s="560"/>
      <c r="AJ96" s="560"/>
      <c r="AK96" s="560"/>
      <c r="AL96" s="560"/>
      <c r="AM96" s="560"/>
    </row>
    <row r="97" spans="2:43" s="548" customFormat="1" ht="36" customHeight="1">
      <c r="B97" s="1065"/>
      <c r="C97" s="620"/>
      <c r="D97" s="621"/>
      <c r="E97" s="622"/>
      <c r="F97" s="623" t="s">
        <v>463</v>
      </c>
      <c r="G97" s="624">
        <f>IF(AD52=0,0,(G70+G81+G83+G95+G96+G91+G92))</f>
        <v>0</v>
      </c>
      <c r="J97" s="560"/>
      <c r="K97" s="560"/>
      <c r="L97" s="560"/>
      <c r="M97" s="560"/>
      <c r="N97" s="560"/>
      <c r="O97" s="560"/>
      <c r="P97" s="560"/>
      <c r="Q97" s="560"/>
      <c r="Z97" s="567"/>
      <c r="AA97" s="567"/>
      <c r="AB97" s="625"/>
      <c r="AC97" s="626"/>
      <c r="AD97" s="626"/>
      <c r="AE97" s="626"/>
      <c r="AF97" s="626"/>
      <c r="AG97" s="627"/>
      <c r="AH97" s="627"/>
      <c r="AI97" s="628"/>
      <c r="AJ97" s="560"/>
      <c r="AK97" s="638"/>
      <c r="AL97" s="640"/>
      <c r="AM97" s="560"/>
    </row>
    <row r="98" spans="2:43" s="548" customFormat="1" ht="36" customHeight="1">
      <c r="B98" s="1065"/>
      <c r="C98" s="629"/>
      <c r="D98" s="630"/>
      <c r="E98" s="631"/>
      <c r="F98" s="623" t="s">
        <v>464</v>
      </c>
      <c r="G98" s="624">
        <f>IF(AH46=0,0,(G70+G81+G82+G86+G89+G95+G96+G94))</f>
        <v>0</v>
      </c>
      <c r="J98" s="560"/>
      <c r="K98" s="560"/>
      <c r="L98" s="560"/>
      <c r="M98" s="560"/>
      <c r="N98" s="560"/>
      <c r="O98" s="560"/>
      <c r="P98" s="560"/>
      <c r="Q98" s="560"/>
      <c r="Z98" s="567"/>
      <c r="AA98" s="567"/>
      <c r="AB98" s="567"/>
      <c r="AC98" s="567"/>
      <c r="AD98" s="567"/>
      <c r="AE98" s="567"/>
      <c r="AF98" s="567"/>
      <c r="AG98" s="560"/>
      <c r="AH98" s="560"/>
      <c r="AI98" s="560"/>
      <c r="AJ98" s="560"/>
      <c r="AK98" s="638"/>
      <c r="AL98" s="640"/>
      <c r="AM98" s="560"/>
    </row>
    <row r="99" spans="2:43" s="548" customFormat="1" ht="36" customHeight="1" thickBot="1">
      <c r="B99" s="1066"/>
      <c r="C99" s="632"/>
      <c r="D99" s="633"/>
      <c r="E99" s="634"/>
      <c r="F99" s="635" t="s">
        <v>465</v>
      </c>
      <c r="G99" s="636">
        <f>IF(AH46=0,0,(G70+G81+G82+G86+G89+G95+G96+G91+G92))</f>
        <v>0</v>
      </c>
      <c r="J99" s="560"/>
      <c r="K99" s="560"/>
      <c r="L99" s="560"/>
      <c r="M99" s="560"/>
      <c r="N99" s="560"/>
      <c r="O99" s="560"/>
      <c r="P99" s="560"/>
      <c r="Q99" s="560"/>
      <c r="Z99" s="567"/>
      <c r="AA99" s="567"/>
      <c r="AB99" s="567"/>
      <c r="AC99" s="567"/>
      <c r="AD99" s="567"/>
      <c r="AE99" s="567"/>
      <c r="AF99" s="567"/>
      <c r="AG99" s="560"/>
      <c r="AH99" s="560"/>
      <c r="AI99" s="560"/>
      <c r="AJ99" s="560"/>
      <c r="AK99" s="567"/>
      <c r="AL99" s="560"/>
      <c r="AM99" s="560"/>
    </row>
    <row r="100" spans="2:43" s="548" customFormat="1" ht="14.25">
      <c r="B100" s="543"/>
      <c r="C100" s="543"/>
      <c r="D100" s="543"/>
      <c r="E100" s="543"/>
      <c r="F100" s="543"/>
      <c r="G100" s="543"/>
      <c r="H100" s="560"/>
      <c r="I100" s="543"/>
      <c r="J100" s="543"/>
      <c r="K100" s="543"/>
      <c r="L100" s="543"/>
      <c r="M100" s="543"/>
      <c r="N100" s="543"/>
      <c r="O100" s="543"/>
      <c r="P100" s="543"/>
      <c r="Q100" s="543"/>
      <c r="R100" s="543"/>
      <c r="S100" s="543"/>
      <c r="T100" s="543"/>
      <c r="U100" s="543"/>
      <c r="V100" s="543"/>
      <c r="W100" s="543"/>
      <c r="X100" s="637"/>
      <c r="Y100" s="637"/>
      <c r="Z100" s="638"/>
      <c r="AA100" s="638"/>
      <c r="AB100" s="567"/>
      <c r="AC100" s="567"/>
      <c r="AD100" s="567"/>
      <c r="AE100" s="567"/>
      <c r="AF100" s="567"/>
      <c r="AG100" s="567"/>
      <c r="AH100" s="567"/>
      <c r="AI100" s="560"/>
      <c r="AJ100" s="560"/>
      <c r="AK100" s="638"/>
      <c r="AL100" s="640"/>
      <c r="AM100" s="560"/>
      <c r="AN100" s="560"/>
    </row>
    <row r="101" spans="2:43" s="538" customFormat="1">
      <c r="B101" s="543"/>
      <c r="C101" s="543"/>
      <c r="D101" s="543"/>
      <c r="E101" s="543"/>
      <c r="F101" s="543"/>
      <c r="G101" s="543"/>
      <c r="H101" s="560"/>
      <c r="I101" s="543"/>
      <c r="J101" s="543"/>
      <c r="K101" s="543"/>
      <c r="L101" s="543"/>
      <c r="M101" s="543"/>
      <c r="N101" s="543"/>
      <c r="O101" s="543"/>
      <c r="P101" s="543"/>
      <c r="Q101" s="543"/>
      <c r="R101" s="543"/>
      <c r="S101" s="543"/>
      <c r="T101" s="543"/>
      <c r="U101" s="543"/>
      <c r="V101" s="543"/>
      <c r="W101" s="543"/>
      <c r="X101" s="543"/>
      <c r="Y101" s="543"/>
      <c r="Z101" s="639"/>
      <c r="AA101" s="639"/>
      <c r="AB101" s="638"/>
      <c r="AC101" s="638"/>
      <c r="AD101" s="638"/>
      <c r="AE101" s="638"/>
      <c r="AF101" s="638"/>
      <c r="AG101" s="638"/>
      <c r="AH101" s="638"/>
      <c r="AI101" s="640"/>
      <c r="AJ101" s="640"/>
      <c r="AK101" s="638"/>
      <c r="AL101" s="640"/>
      <c r="AM101" s="640"/>
      <c r="AN101" s="640"/>
    </row>
    <row r="102" spans="2:43" s="538" customFormat="1" ht="14.25">
      <c r="B102" s="543"/>
      <c r="C102" s="543"/>
      <c r="D102" s="543"/>
      <c r="E102" s="543"/>
      <c r="F102" s="543"/>
      <c r="G102" s="543"/>
      <c r="H102" s="543"/>
      <c r="I102" s="543"/>
      <c r="J102" s="543"/>
      <c r="K102" s="543"/>
      <c r="L102" s="543"/>
      <c r="M102" s="543"/>
      <c r="N102" s="543"/>
      <c r="O102" s="543"/>
      <c r="P102" s="543"/>
      <c r="Q102" s="543"/>
      <c r="R102" s="543"/>
      <c r="S102" s="543"/>
      <c r="T102" s="543"/>
      <c r="U102" s="543"/>
      <c r="V102" s="543"/>
      <c r="W102" s="543"/>
      <c r="X102" s="543"/>
      <c r="Y102" s="637"/>
      <c r="Z102" s="567"/>
      <c r="AA102" s="567"/>
      <c r="AB102" s="638"/>
      <c r="AC102" s="638"/>
      <c r="AD102" s="638"/>
      <c r="AE102" s="638"/>
      <c r="AF102" s="638"/>
      <c r="AG102" s="641"/>
      <c r="AH102" s="641"/>
      <c r="AI102" s="640"/>
      <c r="AJ102" s="640"/>
      <c r="AK102" s="638"/>
      <c r="AL102" s="640"/>
      <c r="AM102" s="640"/>
      <c r="AN102" s="640"/>
    </row>
    <row r="103" spans="2:43" s="538" customFormat="1" ht="14.25">
      <c r="B103" s="543"/>
      <c r="C103" s="543"/>
      <c r="D103" s="543"/>
      <c r="E103" s="543"/>
      <c r="F103" s="543"/>
      <c r="G103" s="543"/>
      <c r="H103" s="543"/>
      <c r="I103" s="543"/>
      <c r="J103" s="543"/>
      <c r="K103" s="543"/>
      <c r="L103" s="543"/>
      <c r="M103" s="543"/>
      <c r="N103" s="543"/>
      <c r="O103" s="543"/>
      <c r="P103" s="543"/>
      <c r="Q103" s="543"/>
      <c r="R103" s="543"/>
      <c r="S103" s="543"/>
      <c r="T103" s="543"/>
      <c r="U103" s="543"/>
      <c r="V103" s="543"/>
      <c r="W103" s="543"/>
      <c r="X103" s="543"/>
      <c r="Y103" s="543"/>
      <c r="Z103" s="638"/>
      <c r="AA103" s="638"/>
      <c r="AB103" s="567"/>
      <c r="AC103" s="567"/>
      <c r="AD103" s="567"/>
      <c r="AE103" s="567"/>
      <c r="AF103" s="567"/>
      <c r="AG103" s="567"/>
      <c r="AH103" s="567"/>
      <c r="AI103" s="560"/>
      <c r="AJ103" s="560"/>
      <c r="AK103" s="638"/>
      <c r="AL103" s="640"/>
      <c r="AM103" s="560"/>
      <c r="AN103" s="560"/>
      <c r="AO103" s="548"/>
    </row>
    <row r="104" spans="2:43" s="538" customFormat="1" ht="14.25">
      <c r="B104" s="543"/>
      <c r="C104" s="543"/>
      <c r="D104" s="543"/>
      <c r="E104" s="543"/>
      <c r="F104" s="543"/>
      <c r="G104" s="543"/>
      <c r="H104" s="543"/>
      <c r="I104" s="543"/>
      <c r="J104" s="543"/>
      <c r="K104" s="543"/>
      <c r="L104" s="543"/>
      <c r="M104" s="543"/>
      <c r="N104" s="543"/>
      <c r="O104" s="543"/>
      <c r="P104" s="543"/>
      <c r="Q104" s="543"/>
      <c r="R104" s="543"/>
      <c r="S104" s="543"/>
      <c r="T104" s="543"/>
      <c r="U104" s="543"/>
      <c r="V104" s="543"/>
      <c r="W104" s="543"/>
      <c r="X104" s="543"/>
      <c r="Y104" s="543"/>
      <c r="Z104" s="638"/>
      <c r="AA104" s="638"/>
      <c r="AB104" s="638"/>
      <c r="AC104" s="638"/>
      <c r="AD104" s="638"/>
      <c r="AE104" s="638"/>
      <c r="AF104" s="638"/>
      <c r="AG104" s="638"/>
      <c r="AH104" s="638"/>
      <c r="AI104" s="640"/>
      <c r="AJ104" s="640"/>
      <c r="AK104" s="638"/>
      <c r="AL104" s="640"/>
      <c r="AM104" s="640"/>
      <c r="AN104" s="640"/>
    </row>
    <row r="105" spans="2:43" s="538" customFormat="1" ht="14.25">
      <c r="B105" s="543"/>
      <c r="C105" s="543"/>
      <c r="D105" s="543"/>
      <c r="E105" s="543"/>
      <c r="F105" s="543"/>
      <c r="G105" s="543"/>
      <c r="H105" s="543"/>
      <c r="I105" s="543"/>
      <c r="J105" s="543"/>
      <c r="K105" s="543"/>
      <c r="L105" s="543"/>
      <c r="M105" s="543"/>
      <c r="N105" s="543"/>
      <c r="O105" s="543"/>
      <c r="P105" s="543"/>
      <c r="Q105" s="543"/>
      <c r="R105" s="543"/>
      <c r="S105" s="543"/>
      <c r="T105" s="543"/>
      <c r="U105" s="543"/>
      <c r="V105" s="543"/>
      <c r="W105" s="543"/>
      <c r="X105" s="543"/>
      <c r="Y105" s="543"/>
      <c r="Z105" s="638"/>
      <c r="AA105" s="638"/>
      <c r="AB105" s="638"/>
      <c r="AC105" s="638"/>
      <c r="AD105" s="638"/>
      <c r="AE105" s="638"/>
      <c r="AF105" s="638"/>
      <c r="AG105" s="638"/>
      <c r="AH105" s="638"/>
      <c r="AI105" s="640"/>
      <c r="AJ105" s="640"/>
      <c r="AK105" s="638"/>
      <c r="AL105" s="640"/>
      <c r="AM105" s="640"/>
      <c r="AN105" s="640"/>
    </row>
    <row r="106" spans="2:43" s="538" customFormat="1" ht="14.25">
      <c r="B106" s="543"/>
      <c r="C106" s="543"/>
      <c r="D106" s="543"/>
      <c r="E106" s="543"/>
      <c r="F106" s="543"/>
      <c r="G106" s="543"/>
      <c r="H106" s="543"/>
      <c r="I106" s="543"/>
      <c r="J106" s="543"/>
      <c r="K106" s="543"/>
      <c r="L106" s="543"/>
      <c r="M106" s="543"/>
      <c r="N106" s="543"/>
      <c r="O106" s="543"/>
      <c r="P106" s="543"/>
      <c r="Q106" s="543"/>
      <c r="R106" s="543"/>
      <c r="S106" s="543"/>
      <c r="T106" s="543"/>
      <c r="U106" s="543"/>
      <c r="V106" s="543"/>
      <c r="W106" s="543"/>
      <c r="X106" s="543"/>
      <c r="Y106" s="543"/>
      <c r="Z106" s="638"/>
      <c r="AA106" s="638"/>
      <c r="AB106" s="638"/>
      <c r="AC106" s="638"/>
      <c r="AD106" s="638"/>
      <c r="AE106" s="638"/>
      <c r="AF106" s="638"/>
      <c r="AG106" s="638"/>
      <c r="AH106" s="638"/>
      <c r="AI106" s="640"/>
      <c r="AJ106" s="640"/>
      <c r="AK106" s="638"/>
      <c r="AL106" s="640"/>
      <c r="AM106" s="640"/>
      <c r="AN106" s="640"/>
    </row>
    <row r="107" spans="2:43" s="538" customFormat="1" ht="14.25">
      <c r="B107" s="543"/>
      <c r="C107" s="543"/>
      <c r="D107" s="543"/>
      <c r="E107" s="543"/>
      <c r="F107" s="543"/>
      <c r="G107" s="543"/>
      <c r="H107" s="543"/>
      <c r="I107" s="543"/>
      <c r="J107" s="543"/>
      <c r="K107" s="543"/>
      <c r="L107" s="543"/>
      <c r="M107" s="543"/>
      <c r="N107" s="543"/>
      <c r="O107" s="543"/>
      <c r="P107" s="543"/>
      <c r="Q107" s="543"/>
      <c r="R107" s="543"/>
      <c r="S107" s="543"/>
      <c r="T107" s="543"/>
      <c r="U107" s="543"/>
      <c r="V107" s="543"/>
      <c r="W107" s="543"/>
      <c r="X107" s="543"/>
      <c r="Y107" s="543"/>
      <c r="Z107" s="638"/>
      <c r="AA107" s="638"/>
      <c r="AB107" s="638"/>
      <c r="AC107" s="638"/>
      <c r="AD107" s="638"/>
      <c r="AE107" s="638"/>
      <c r="AF107" s="638"/>
      <c r="AG107" s="638"/>
      <c r="AH107" s="638"/>
      <c r="AI107" s="640"/>
      <c r="AJ107" s="640"/>
      <c r="AK107" s="638"/>
      <c r="AL107" s="640"/>
      <c r="AM107" s="640"/>
      <c r="AN107" s="640"/>
    </row>
    <row r="108" spans="2:43" s="538" customFormat="1" ht="14.25">
      <c r="B108" s="543"/>
      <c r="C108" s="543"/>
      <c r="D108" s="543"/>
      <c r="E108" s="543"/>
      <c r="F108" s="543"/>
      <c r="G108" s="543"/>
      <c r="H108" s="543"/>
      <c r="I108" s="543"/>
      <c r="J108" s="543"/>
      <c r="K108" s="543"/>
      <c r="L108" s="543"/>
      <c r="M108" s="543"/>
      <c r="N108" s="543"/>
      <c r="O108" s="543"/>
      <c r="P108" s="543"/>
      <c r="Q108" s="543"/>
      <c r="R108" s="543"/>
      <c r="S108" s="543"/>
      <c r="T108" s="543"/>
      <c r="U108" s="543"/>
      <c r="V108" s="543"/>
      <c r="W108" s="543"/>
      <c r="X108" s="543"/>
      <c r="Y108" s="543"/>
      <c r="Z108" s="642"/>
      <c r="AA108" s="642"/>
      <c r="AB108" s="638"/>
      <c r="AC108" s="638"/>
      <c r="AD108" s="638"/>
      <c r="AE108" s="638"/>
      <c r="AF108" s="638"/>
      <c r="AG108" s="638"/>
      <c r="AH108" s="638"/>
      <c r="AI108" s="640"/>
      <c r="AJ108" s="640"/>
      <c r="AK108" s="638"/>
      <c r="AL108" s="640"/>
      <c r="AM108" s="640"/>
      <c r="AN108" s="640"/>
      <c r="AP108" s="548"/>
      <c r="AQ108" s="548"/>
    </row>
    <row r="109" spans="2:43" s="538" customFormat="1" ht="14.25">
      <c r="B109" s="543"/>
      <c r="C109" s="543"/>
      <c r="D109" s="543"/>
      <c r="E109" s="543"/>
      <c r="F109" s="543"/>
      <c r="G109" s="543"/>
      <c r="H109" s="543"/>
      <c r="I109" s="543"/>
      <c r="J109" s="543"/>
      <c r="K109" s="543"/>
      <c r="L109" s="543"/>
      <c r="M109" s="543"/>
      <c r="N109" s="543"/>
      <c r="O109" s="543"/>
      <c r="P109" s="543"/>
      <c r="Q109" s="543"/>
      <c r="R109" s="543"/>
      <c r="S109" s="543"/>
      <c r="T109" s="543"/>
      <c r="U109" s="543"/>
      <c r="V109" s="543"/>
      <c r="W109" s="543"/>
      <c r="X109" s="543"/>
      <c r="Y109" s="543"/>
      <c r="Z109" s="642"/>
      <c r="AA109" s="642"/>
      <c r="AB109" s="638"/>
      <c r="AC109" s="638"/>
      <c r="AD109" s="638"/>
      <c r="AE109" s="638"/>
      <c r="AF109" s="638"/>
      <c r="AG109" s="638"/>
      <c r="AH109" s="638"/>
      <c r="AI109" s="640"/>
      <c r="AJ109" s="640"/>
      <c r="AK109" s="638"/>
      <c r="AL109" s="640"/>
      <c r="AM109" s="640"/>
      <c r="AN109" s="640"/>
    </row>
    <row r="110" spans="2:43" s="538" customFormat="1" ht="14.25">
      <c r="B110" s="543"/>
      <c r="C110" s="543"/>
      <c r="D110" s="543"/>
      <c r="E110" s="543"/>
      <c r="F110" s="543"/>
      <c r="G110" s="543"/>
      <c r="H110" s="543"/>
      <c r="I110" s="543"/>
      <c r="J110" s="543"/>
      <c r="K110" s="543"/>
      <c r="L110" s="543"/>
      <c r="M110" s="543"/>
      <c r="N110" s="543"/>
      <c r="O110" s="543"/>
      <c r="P110" s="543"/>
      <c r="Q110" s="543"/>
      <c r="R110" s="543"/>
      <c r="S110" s="543"/>
      <c r="T110" s="543"/>
      <c r="U110" s="543"/>
      <c r="V110" s="543"/>
      <c r="W110" s="543"/>
      <c r="X110" s="543"/>
      <c r="Y110" s="543"/>
      <c r="Z110" s="638"/>
      <c r="AA110" s="638"/>
      <c r="AB110" s="638"/>
      <c r="AC110" s="638"/>
      <c r="AD110" s="638"/>
      <c r="AE110" s="638"/>
      <c r="AF110" s="638"/>
      <c r="AG110" s="638"/>
      <c r="AH110" s="638"/>
      <c r="AI110" s="640"/>
      <c r="AJ110" s="640"/>
      <c r="AK110" s="638"/>
      <c r="AL110" s="640"/>
      <c r="AM110" s="640"/>
      <c r="AN110" s="640"/>
    </row>
    <row r="111" spans="2:43" s="538" customFormat="1" ht="14.25">
      <c r="B111" s="543"/>
      <c r="C111" s="543"/>
      <c r="D111" s="543"/>
      <c r="E111" s="543"/>
      <c r="F111" s="543"/>
      <c r="G111" s="543"/>
      <c r="H111" s="543"/>
      <c r="I111" s="543"/>
      <c r="J111" s="543"/>
      <c r="K111" s="543"/>
      <c r="L111" s="543"/>
      <c r="M111" s="543"/>
      <c r="N111" s="543"/>
      <c r="O111" s="543"/>
      <c r="P111" s="543"/>
      <c r="Q111" s="543"/>
      <c r="R111" s="543"/>
      <c r="S111" s="543"/>
      <c r="T111" s="543"/>
      <c r="U111" s="543"/>
      <c r="V111" s="543"/>
      <c r="W111" s="543"/>
      <c r="X111" s="543"/>
      <c r="Y111" s="543"/>
      <c r="Z111" s="638"/>
      <c r="AA111" s="638"/>
      <c r="AB111" s="638"/>
      <c r="AC111" s="638"/>
      <c r="AD111" s="638"/>
      <c r="AE111" s="638"/>
      <c r="AF111" s="638"/>
      <c r="AG111" s="638"/>
      <c r="AH111" s="638"/>
      <c r="AI111" s="640"/>
      <c r="AJ111" s="640"/>
      <c r="AK111" s="638"/>
      <c r="AL111" s="640"/>
      <c r="AM111" s="640"/>
      <c r="AN111" s="640"/>
    </row>
    <row r="112" spans="2:43" s="538" customFormat="1" ht="14.25">
      <c r="B112" s="543"/>
      <c r="C112" s="543"/>
      <c r="D112" s="543"/>
      <c r="E112" s="543"/>
      <c r="F112" s="543"/>
      <c r="G112" s="543"/>
      <c r="H112" s="543"/>
      <c r="I112" s="543"/>
      <c r="J112" s="543"/>
      <c r="K112" s="543"/>
      <c r="L112" s="543"/>
      <c r="M112" s="543"/>
      <c r="N112" s="543"/>
      <c r="O112" s="543"/>
      <c r="P112" s="543"/>
      <c r="Q112" s="543"/>
      <c r="R112" s="543"/>
      <c r="S112" s="543"/>
      <c r="T112" s="543"/>
      <c r="U112" s="543"/>
      <c r="V112" s="543"/>
      <c r="W112" s="543"/>
      <c r="X112" s="543"/>
      <c r="Y112" s="543"/>
      <c r="Z112" s="638"/>
      <c r="AA112" s="638"/>
      <c r="AB112" s="638"/>
      <c r="AC112" s="638"/>
      <c r="AD112" s="638"/>
      <c r="AE112" s="638"/>
      <c r="AF112" s="638"/>
      <c r="AG112" s="638"/>
      <c r="AH112" s="638"/>
      <c r="AI112" s="640"/>
      <c r="AJ112" s="640"/>
      <c r="AK112" s="638"/>
      <c r="AL112" s="640"/>
      <c r="AM112" s="640"/>
      <c r="AN112" s="640"/>
    </row>
    <row r="113" spans="2:51" s="538" customFormat="1">
      <c r="B113" s="543"/>
      <c r="C113" s="543"/>
      <c r="D113" s="543"/>
      <c r="E113" s="543"/>
      <c r="F113" s="543"/>
      <c r="G113" s="543"/>
      <c r="H113" s="543"/>
      <c r="I113" s="543"/>
      <c r="J113" s="543"/>
      <c r="K113" s="543"/>
      <c r="L113" s="543"/>
      <c r="M113" s="543"/>
      <c r="N113" s="543"/>
      <c r="O113" s="543"/>
      <c r="P113" s="543"/>
      <c r="Q113" s="543"/>
      <c r="R113" s="543"/>
      <c r="S113" s="543"/>
      <c r="T113" s="543"/>
      <c r="U113" s="543"/>
      <c r="V113" s="543"/>
      <c r="W113" s="543"/>
      <c r="X113" s="543"/>
      <c r="Y113" s="543"/>
      <c r="Z113" s="638"/>
      <c r="AA113" s="638"/>
      <c r="AB113" s="638"/>
      <c r="AC113" s="638"/>
      <c r="AD113" s="638"/>
      <c r="AE113" s="638"/>
      <c r="AF113" s="638"/>
      <c r="AG113" s="638"/>
      <c r="AH113" s="638"/>
      <c r="AI113" s="640"/>
      <c r="AJ113" s="640"/>
      <c r="AK113" s="643"/>
      <c r="AL113" s="644"/>
      <c r="AM113" s="640"/>
      <c r="AN113" s="640"/>
    </row>
    <row r="114" spans="2:51" s="538" customFormat="1">
      <c r="B114" s="543"/>
      <c r="C114" s="543"/>
      <c r="D114" s="543"/>
      <c r="E114" s="543"/>
      <c r="F114" s="543"/>
      <c r="G114" s="543"/>
      <c r="H114" s="543"/>
      <c r="I114" s="543"/>
      <c r="J114" s="543"/>
      <c r="K114" s="543"/>
      <c r="L114" s="543"/>
      <c r="M114" s="543"/>
      <c r="N114" s="543"/>
      <c r="O114" s="543"/>
      <c r="P114" s="543"/>
      <c r="Q114" s="543"/>
      <c r="R114" s="543"/>
      <c r="S114" s="543"/>
      <c r="T114" s="543"/>
      <c r="U114" s="543"/>
      <c r="V114" s="543"/>
      <c r="W114" s="543"/>
      <c r="X114" s="543"/>
      <c r="Y114" s="543"/>
      <c r="Z114" s="638"/>
      <c r="AA114" s="638"/>
      <c r="AB114" s="638"/>
      <c r="AC114" s="638"/>
      <c r="AD114" s="638"/>
      <c r="AE114" s="638"/>
      <c r="AF114" s="638"/>
      <c r="AG114" s="638"/>
      <c r="AH114" s="638"/>
      <c r="AI114" s="640"/>
      <c r="AJ114" s="640"/>
      <c r="AK114" s="643"/>
      <c r="AL114" s="644"/>
      <c r="AM114" s="640"/>
      <c r="AN114" s="640"/>
    </row>
    <row r="115" spans="2:51" s="538" customFormat="1">
      <c r="B115" s="543"/>
      <c r="C115" s="543"/>
      <c r="D115" s="543"/>
      <c r="E115" s="543"/>
      <c r="F115" s="543"/>
      <c r="G115" s="543"/>
      <c r="H115" s="543"/>
      <c r="I115" s="543"/>
      <c r="J115" s="543"/>
      <c r="K115" s="543"/>
      <c r="L115" s="543"/>
      <c r="M115" s="543"/>
      <c r="N115" s="543"/>
      <c r="O115" s="543"/>
      <c r="P115" s="543"/>
      <c r="Q115" s="543"/>
      <c r="R115" s="543"/>
      <c r="S115" s="543"/>
      <c r="T115" s="543"/>
      <c r="U115" s="543"/>
      <c r="V115" s="543"/>
      <c r="W115" s="543"/>
      <c r="X115" s="543"/>
      <c r="Y115" s="543"/>
      <c r="Z115" s="638"/>
      <c r="AA115" s="638"/>
      <c r="AB115" s="638"/>
      <c r="AC115" s="638"/>
      <c r="AD115" s="638"/>
      <c r="AE115" s="638"/>
      <c r="AF115" s="638"/>
      <c r="AG115" s="638"/>
      <c r="AH115" s="638"/>
      <c r="AI115" s="640"/>
      <c r="AJ115" s="640"/>
      <c r="AK115" s="643"/>
      <c r="AL115" s="645"/>
      <c r="AM115" s="640"/>
      <c r="AN115" s="640"/>
    </row>
    <row r="116" spans="2:51" s="538" customFormat="1">
      <c r="B116" s="543"/>
      <c r="C116" s="543"/>
      <c r="D116" s="543"/>
      <c r="E116" s="543"/>
      <c r="F116" s="543"/>
      <c r="G116" s="543"/>
      <c r="H116" s="543"/>
      <c r="I116" s="543"/>
      <c r="J116" s="543"/>
      <c r="K116" s="543"/>
      <c r="L116" s="543"/>
      <c r="M116" s="543"/>
      <c r="N116" s="543"/>
      <c r="O116" s="543"/>
      <c r="P116" s="543"/>
      <c r="Q116" s="543"/>
      <c r="R116" s="543"/>
      <c r="S116" s="543"/>
      <c r="T116" s="543"/>
      <c r="U116" s="543"/>
      <c r="V116" s="543"/>
      <c r="W116" s="543"/>
      <c r="X116" s="543"/>
      <c r="Y116" s="543"/>
      <c r="Z116" s="638"/>
      <c r="AA116" s="638"/>
      <c r="AB116" s="638"/>
      <c r="AC116" s="638"/>
      <c r="AD116" s="638"/>
      <c r="AE116" s="638"/>
      <c r="AF116" s="638"/>
      <c r="AG116" s="638"/>
      <c r="AH116" s="638"/>
      <c r="AI116" s="640"/>
      <c r="AJ116" s="640"/>
      <c r="AK116" s="643"/>
      <c r="AL116" s="644"/>
      <c r="AM116" s="640"/>
      <c r="AN116" s="640"/>
    </row>
    <row r="117" spans="2:51" s="532" customFormat="1">
      <c r="B117" s="309"/>
      <c r="C117" s="309"/>
      <c r="D117" s="309"/>
      <c r="E117" s="309"/>
      <c r="F117" s="309"/>
      <c r="G117" s="309"/>
      <c r="H117" s="543"/>
      <c r="I117" s="309"/>
      <c r="J117" s="309"/>
      <c r="K117" s="309"/>
      <c r="L117" s="309"/>
      <c r="M117" s="309"/>
      <c r="N117" s="309"/>
      <c r="O117" s="309"/>
      <c r="P117" s="309"/>
      <c r="Q117" s="309"/>
      <c r="R117" s="309"/>
      <c r="S117" s="309"/>
      <c r="T117" s="309"/>
      <c r="U117" s="309"/>
      <c r="V117" s="309"/>
      <c r="W117" s="309"/>
      <c r="X117" s="309"/>
      <c r="Y117" s="309"/>
      <c r="Z117" s="643"/>
      <c r="AA117" s="643"/>
      <c r="AB117" s="643"/>
      <c r="AC117" s="643"/>
      <c r="AD117" s="643"/>
      <c r="AE117" s="643"/>
      <c r="AF117" s="643"/>
      <c r="AG117" s="643"/>
      <c r="AH117" s="643"/>
      <c r="AI117" s="644"/>
      <c r="AJ117" s="644"/>
      <c r="AK117" s="643"/>
      <c r="AL117" s="644"/>
      <c r="AM117" s="644"/>
      <c r="AN117" s="644"/>
    </row>
    <row r="118" spans="2:51" s="532" customFormat="1">
      <c r="B118" s="309"/>
      <c r="C118" s="309"/>
      <c r="D118" s="309"/>
      <c r="E118" s="309"/>
      <c r="F118" s="309"/>
      <c r="G118" s="309"/>
      <c r="H118" s="543"/>
      <c r="I118" s="309"/>
      <c r="J118" s="309"/>
      <c r="K118" s="309"/>
      <c r="L118" s="309"/>
      <c r="M118" s="309"/>
      <c r="N118" s="309"/>
      <c r="O118" s="309"/>
      <c r="P118" s="309"/>
      <c r="Q118" s="309"/>
      <c r="R118" s="309"/>
      <c r="S118" s="309"/>
      <c r="T118" s="309"/>
      <c r="U118" s="309"/>
      <c r="V118" s="309"/>
      <c r="W118" s="309"/>
      <c r="X118" s="309"/>
      <c r="Y118" s="309"/>
      <c r="Z118" s="527"/>
      <c r="AA118" s="527"/>
      <c r="AB118" s="643"/>
      <c r="AC118" s="643"/>
      <c r="AD118" s="643"/>
      <c r="AE118" s="643"/>
      <c r="AF118" s="643"/>
      <c r="AG118" s="643"/>
      <c r="AH118" s="643"/>
      <c r="AI118" s="644"/>
      <c r="AJ118" s="644"/>
      <c r="AK118" s="643"/>
      <c r="AL118" s="644"/>
      <c r="AM118" s="644"/>
      <c r="AN118" s="644"/>
    </row>
    <row r="119" spans="2:51" s="532" customFormat="1">
      <c r="B119" s="309"/>
      <c r="C119" s="309"/>
      <c r="D119" s="309"/>
      <c r="E119" s="309"/>
      <c r="F119" s="309"/>
      <c r="G119" s="309"/>
      <c r="H119" s="309"/>
      <c r="I119" s="309"/>
      <c r="J119" s="309"/>
      <c r="K119" s="309"/>
      <c r="L119" s="309"/>
      <c r="M119" s="309"/>
      <c r="N119" s="309"/>
      <c r="O119" s="309"/>
      <c r="P119" s="309"/>
      <c r="Q119" s="309"/>
      <c r="R119" s="309"/>
      <c r="S119" s="309"/>
      <c r="T119" s="309"/>
      <c r="U119" s="309"/>
      <c r="V119" s="309"/>
      <c r="W119" s="309"/>
      <c r="X119" s="309"/>
      <c r="Y119" s="309"/>
      <c r="Z119" s="643"/>
      <c r="AA119" s="643"/>
      <c r="AB119" s="527"/>
      <c r="AC119" s="527"/>
      <c r="AD119" s="527"/>
      <c r="AE119" s="527"/>
      <c r="AF119" s="527"/>
      <c r="AG119" s="527"/>
      <c r="AH119" s="527"/>
      <c r="AI119" s="645"/>
      <c r="AJ119" s="645"/>
      <c r="AK119" s="643"/>
      <c r="AL119" s="644"/>
      <c r="AM119" s="645"/>
      <c r="AN119" s="645"/>
      <c r="AO119" s="646"/>
    </row>
    <row r="120" spans="2:51" s="532" customFormat="1">
      <c r="B120" s="309"/>
      <c r="C120" s="309"/>
      <c r="D120" s="309"/>
      <c r="E120" s="309"/>
      <c r="F120" s="309"/>
      <c r="G120" s="309"/>
      <c r="H120" s="309"/>
      <c r="I120" s="309"/>
      <c r="J120" s="309"/>
      <c r="K120" s="309"/>
      <c r="L120" s="309"/>
      <c r="M120" s="309"/>
      <c r="N120" s="309"/>
      <c r="O120" s="309"/>
      <c r="P120" s="309"/>
      <c r="Q120" s="309"/>
      <c r="R120" s="309"/>
      <c r="S120" s="309"/>
      <c r="T120" s="309"/>
      <c r="U120" s="309"/>
      <c r="V120" s="309"/>
      <c r="W120" s="309"/>
      <c r="X120" s="309"/>
      <c r="Y120" s="309"/>
      <c r="Z120" s="643"/>
      <c r="AA120" s="643"/>
      <c r="AB120" s="643"/>
      <c r="AC120" s="643"/>
      <c r="AD120" s="643"/>
      <c r="AE120" s="643"/>
      <c r="AF120" s="643"/>
      <c r="AG120" s="643"/>
      <c r="AH120" s="643"/>
      <c r="AI120" s="644"/>
      <c r="AJ120" s="644"/>
      <c r="AK120" s="643"/>
      <c r="AL120" s="644"/>
      <c r="AM120" s="644"/>
      <c r="AN120" s="644"/>
      <c r="AQ120" s="647"/>
    </row>
    <row r="121" spans="2:51" s="532" customFormat="1">
      <c r="B121" s="309"/>
      <c r="C121" s="309"/>
      <c r="D121" s="309"/>
      <c r="E121" s="309"/>
      <c r="F121" s="309"/>
      <c r="G121" s="309"/>
      <c r="H121" s="309"/>
      <c r="I121" s="309"/>
      <c r="J121" s="309"/>
      <c r="K121" s="309"/>
      <c r="L121" s="309"/>
      <c r="M121" s="309"/>
      <c r="N121" s="309"/>
      <c r="O121" s="309"/>
      <c r="P121" s="309"/>
      <c r="Q121" s="309"/>
      <c r="R121" s="309"/>
      <c r="S121" s="309"/>
      <c r="T121" s="309"/>
      <c r="U121" s="309"/>
      <c r="V121" s="309"/>
      <c r="W121" s="309"/>
      <c r="X121" s="309"/>
      <c r="Y121" s="309"/>
      <c r="Z121" s="643"/>
      <c r="AA121" s="643"/>
      <c r="AB121" s="643"/>
      <c r="AC121" s="643"/>
      <c r="AD121" s="643"/>
      <c r="AE121" s="643"/>
      <c r="AF121" s="643"/>
      <c r="AG121" s="643"/>
      <c r="AH121" s="643"/>
      <c r="AI121" s="644"/>
      <c r="AJ121" s="644"/>
      <c r="AK121" s="643"/>
      <c r="AL121" s="644"/>
      <c r="AM121" s="644"/>
      <c r="AN121" s="644"/>
      <c r="AP121" s="647"/>
      <c r="AQ121" s="647"/>
      <c r="AR121" s="647"/>
      <c r="AS121" s="647"/>
      <c r="AT121" s="647"/>
      <c r="AU121" s="647"/>
      <c r="AV121" s="647"/>
      <c r="AW121" s="647"/>
      <c r="AX121" s="647"/>
      <c r="AY121" s="647"/>
    </row>
    <row r="122" spans="2:51">
      <c r="Z122" s="643"/>
      <c r="AA122" s="643"/>
      <c r="AB122" s="643"/>
      <c r="AC122" s="643"/>
      <c r="AD122" s="643"/>
      <c r="AE122" s="643"/>
      <c r="AF122" s="643"/>
      <c r="AG122" s="643"/>
      <c r="AH122" s="643"/>
      <c r="AI122" s="644"/>
      <c r="AJ122" s="644"/>
      <c r="AK122" s="643"/>
      <c r="AL122" s="644"/>
      <c r="AM122" s="644"/>
      <c r="AN122" s="644"/>
      <c r="AO122" s="532"/>
    </row>
    <row r="123" spans="2:51">
      <c r="Z123" s="643"/>
      <c r="AA123" s="643"/>
      <c r="AB123" s="643"/>
      <c r="AC123" s="643"/>
      <c r="AD123" s="643"/>
      <c r="AE123" s="643"/>
      <c r="AF123" s="643"/>
      <c r="AG123" s="643"/>
      <c r="AH123" s="643"/>
      <c r="AI123" s="644"/>
      <c r="AJ123" s="644"/>
      <c r="AK123" s="643"/>
      <c r="AL123" s="644"/>
      <c r="AM123" s="644"/>
      <c r="AN123" s="644"/>
      <c r="AO123" s="532"/>
    </row>
    <row r="124" spans="2:51">
      <c r="Z124" s="643"/>
      <c r="AA124" s="643"/>
      <c r="AB124" s="643"/>
      <c r="AC124" s="643"/>
      <c r="AD124" s="643"/>
      <c r="AE124" s="643"/>
      <c r="AF124" s="643"/>
      <c r="AG124" s="643"/>
      <c r="AH124" s="643"/>
      <c r="AI124" s="644"/>
      <c r="AJ124" s="644"/>
      <c r="AK124" s="643"/>
      <c r="AL124" s="644"/>
      <c r="AM124" s="644"/>
      <c r="AN124" s="644"/>
      <c r="AO124" s="532"/>
    </row>
    <row r="125" spans="2:51">
      <c r="Z125" s="643"/>
      <c r="AA125" s="643"/>
      <c r="AB125" s="643"/>
      <c r="AC125" s="643"/>
      <c r="AD125" s="643"/>
      <c r="AE125" s="643"/>
      <c r="AF125" s="643"/>
      <c r="AG125" s="643"/>
      <c r="AH125" s="643"/>
      <c r="AI125" s="644"/>
      <c r="AJ125" s="644"/>
      <c r="AK125" s="643"/>
      <c r="AL125" s="644"/>
      <c r="AM125" s="644"/>
      <c r="AN125" s="644"/>
      <c r="AO125" s="532"/>
    </row>
    <row r="126" spans="2:51">
      <c r="Z126" s="643"/>
      <c r="AA126" s="643"/>
      <c r="AB126" s="643"/>
      <c r="AC126" s="643"/>
      <c r="AD126" s="643"/>
      <c r="AE126" s="643"/>
      <c r="AF126" s="643"/>
      <c r="AG126" s="643"/>
      <c r="AH126" s="643"/>
      <c r="AI126" s="644"/>
      <c r="AJ126" s="644"/>
      <c r="AK126" s="643"/>
      <c r="AL126" s="643"/>
      <c r="AM126" s="644"/>
      <c r="AN126" s="644"/>
      <c r="AO126" s="532"/>
    </row>
    <row r="127" spans="2:51">
      <c r="Z127" s="643"/>
      <c r="AA127" s="643"/>
      <c r="AB127" s="643"/>
      <c r="AC127" s="643"/>
      <c r="AD127" s="643"/>
      <c r="AE127" s="643"/>
      <c r="AF127" s="643"/>
      <c r="AG127" s="643"/>
      <c r="AH127" s="643"/>
      <c r="AI127" s="644"/>
      <c r="AJ127" s="644"/>
      <c r="AK127" s="643"/>
      <c r="AL127" s="643"/>
      <c r="AM127" s="644"/>
      <c r="AN127" s="644"/>
      <c r="AO127" s="532"/>
    </row>
    <row r="128" spans="2:51">
      <c r="Z128" s="643"/>
      <c r="AA128" s="643"/>
      <c r="AB128" s="643"/>
      <c r="AC128" s="643"/>
      <c r="AD128" s="643"/>
      <c r="AE128" s="643"/>
      <c r="AF128" s="643"/>
      <c r="AG128" s="643"/>
      <c r="AH128" s="643"/>
      <c r="AI128" s="644"/>
      <c r="AJ128" s="644"/>
      <c r="AM128" s="644"/>
      <c r="AN128" s="644"/>
      <c r="AO128" s="532"/>
    </row>
    <row r="129" spans="26:41">
      <c r="Z129" s="643"/>
      <c r="AA129" s="643"/>
      <c r="AB129" s="643"/>
      <c r="AC129" s="643"/>
      <c r="AD129" s="643"/>
      <c r="AE129" s="643"/>
      <c r="AF129" s="643"/>
      <c r="AG129" s="643"/>
      <c r="AH129" s="643"/>
      <c r="AI129" s="644"/>
      <c r="AJ129" s="644"/>
      <c r="AM129" s="644"/>
      <c r="AN129" s="644"/>
      <c r="AO129" s="532"/>
    </row>
    <row r="130" spans="26:41">
      <c r="Z130" s="643"/>
      <c r="AA130" s="643"/>
      <c r="AB130" s="644"/>
      <c r="AC130" s="644"/>
      <c r="AD130" s="644"/>
      <c r="AE130" s="644"/>
      <c r="AF130" s="644"/>
      <c r="AG130" s="644"/>
      <c r="AH130" s="644"/>
      <c r="AI130" s="644"/>
      <c r="AJ130" s="644"/>
      <c r="AM130" s="644"/>
      <c r="AN130" s="644"/>
      <c r="AO130" s="532"/>
    </row>
    <row r="131" spans="26:41">
      <c r="AB131" s="643"/>
      <c r="AC131" s="643"/>
      <c r="AD131" s="643"/>
      <c r="AE131" s="643"/>
      <c r="AF131" s="643"/>
      <c r="AG131" s="643"/>
      <c r="AH131" s="643"/>
      <c r="AI131" s="643"/>
      <c r="AJ131" s="643"/>
      <c r="AM131" s="643"/>
      <c r="AN131" s="643"/>
      <c r="AO131" s="647"/>
    </row>
  </sheetData>
  <dataConsolidate/>
  <mergeCells count="65">
    <mergeCell ref="G92:G93"/>
    <mergeCell ref="D94:E94"/>
    <mergeCell ref="F84:F85"/>
    <mergeCell ref="G84:G85"/>
    <mergeCell ref="C95:E96"/>
    <mergeCell ref="B84:B89"/>
    <mergeCell ref="C84:C86"/>
    <mergeCell ref="D84:D85"/>
    <mergeCell ref="E84:E85"/>
    <mergeCell ref="D86:F86"/>
    <mergeCell ref="D89:F89"/>
    <mergeCell ref="B91:B99"/>
    <mergeCell ref="D91:E91"/>
    <mergeCell ref="C92:C94"/>
    <mergeCell ref="F92:F93"/>
    <mergeCell ref="D92:E93"/>
    <mergeCell ref="AL27:AL28"/>
    <mergeCell ref="AH30:AH32"/>
    <mergeCell ref="B82:B83"/>
    <mergeCell ref="C82:C83"/>
    <mergeCell ref="AI33:AI38"/>
    <mergeCell ref="AK29:AK30"/>
    <mergeCell ref="AL29:AL30"/>
    <mergeCell ref="AH36:AH39"/>
    <mergeCell ref="AH42:AH45"/>
    <mergeCell ref="B61:G61"/>
    <mergeCell ref="C64:C70"/>
    <mergeCell ref="D70:F70"/>
    <mergeCell ref="C71:C81"/>
    <mergeCell ref="D81:F81"/>
    <mergeCell ref="AH54:AI54"/>
    <mergeCell ref="AH55:AI55"/>
    <mergeCell ref="O24:P24"/>
    <mergeCell ref="T24:X24"/>
    <mergeCell ref="R25:AD25"/>
    <mergeCell ref="AE25:AG25"/>
    <mergeCell ref="AK27:AK28"/>
    <mergeCell ref="L25:Q25"/>
    <mergeCell ref="F17:G17"/>
    <mergeCell ref="C18:D18"/>
    <mergeCell ref="C19:D19"/>
    <mergeCell ref="C20:D20"/>
    <mergeCell ref="R2:X2"/>
    <mergeCell ref="C5:H5"/>
    <mergeCell ref="F16:G16"/>
    <mergeCell ref="H16:J20"/>
    <mergeCell ref="C17:D17"/>
    <mergeCell ref="E18:E19"/>
    <mergeCell ref="F18:G19"/>
    <mergeCell ref="AB6:AI6"/>
    <mergeCell ref="D10:J10"/>
    <mergeCell ref="D11:J11"/>
    <mergeCell ref="C87:C88"/>
    <mergeCell ref="AH56:AI57"/>
    <mergeCell ref="AH58:AI58"/>
    <mergeCell ref="F20:G20"/>
    <mergeCell ref="D12:J12"/>
    <mergeCell ref="C25:D25"/>
    <mergeCell ref="E25:F25"/>
    <mergeCell ref="G25:H25"/>
    <mergeCell ref="I25:K25"/>
    <mergeCell ref="C15:D15"/>
    <mergeCell ref="F15:G15"/>
    <mergeCell ref="H15:J15"/>
    <mergeCell ref="C16:D16"/>
  </mergeCells>
  <conditionalFormatting sqref="AI28">
    <cfRule type="expression" dxfId="0" priority="1">
      <formula>$D$24&lt;&gt;"User Defined Mix"</formula>
    </cfRule>
  </conditionalFormatting>
  <dataValidations count="5">
    <dataValidation type="list" allowBlank="1" showInputMessage="1" showErrorMessage="1" sqref="AL27:AL28" xr:uid="{A766E74B-D73C-4A24-BC43-5BC0B5B55AFB}">
      <formula1>"Boil-Off Recovery Equipped, No Boil-Off Recovery"</formula1>
    </dataValidation>
    <dataValidation type="list" allowBlank="1" showDropDown="1" showInputMessage="1" showErrorMessage="1" sqref="H24" xr:uid="{50D2AC5B-85C3-426A-851D-C61F8F5EDD09}">
      <formula1>"Yes,No"</formula1>
    </dataValidation>
    <dataValidation type="list" allowBlank="1" showInputMessage="1" showErrorMessage="1" sqref="AP27" xr:uid="{A72A7637-8017-47EF-9A41-33D1A51B474F}">
      <formula1>"miles, km"</formula1>
    </dataValidation>
    <dataValidation type="list" allowBlank="1" showInputMessage="1" showErrorMessage="1" sqref="N88:N89" xr:uid="{18CAA37A-BD00-4C71-97E0-7D1FE56D5E1F}">
      <formula1>"Yes, No"</formula1>
    </dataValidation>
    <dataValidation allowBlank="1" showDropDown="1" showInputMessage="1" showErrorMessage="1" sqref="F20:G20" xr:uid="{0533FE0E-9027-437A-86B5-F3DE15E6729B}"/>
  </dataValidations>
  <pageMargins left="0.2" right="0.2" top="0.25" bottom="0.25" header="0.05" footer="0.3"/>
  <pageSetup scale="21" orientation="landscape"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xr:uid="{61C49BB7-F1A6-4953-A188-4E75EC7532A3}">
          <x14:formula1>
            <xm:f>Reference!$A$112:$A$162</xm:f>
          </x14:formula1>
          <xm:sqref>C19:D19</xm:sqref>
        </x14:dataValidation>
        <x14:dataValidation type="list" allowBlank="1" showInputMessage="1" showErrorMessage="1" xr:uid="{5AF970FE-6159-4605-88A4-97EA900A75BC}">
          <x14:formula1>
            <xm:f>'EF Table'!$D$4:$D$34</xm:f>
          </x14:formula1>
          <xm:sqref>D24</xm:sqref>
        </x14:dataValidation>
        <x14:dataValidation type="list" allowBlank="1" showInputMessage="1" showErrorMessage="1" xr:uid="{61826AFF-3ECE-4695-884D-450C5A6CD477}">
          <x14:formula1>
            <xm:f>'EF Table'!$C$30:$C$31</xm:f>
          </x14:formula1>
          <xm:sqref>AP39:AP45</xm:sqref>
        </x14:dataValidation>
        <x14:dataValidation type="list" allowBlank="1" showInputMessage="1" showErrorMessage="1" xr:uid="{68BB1AC4-DA6B-4D72-8B16-4B7D7DC29CC3}">
          <x14:formula1>
            <xm:f>'EF Table'!$C$76:$C$82</xm:f>
          </x14:formula1>
          <xm:sqref>AA27</xm:sqref>
        </x14:dataValidation>
        <x14:dataValidation type="list" allowBlank="1" showInputMessage="1" showErrorMessage="1" xr:uid="{AA2D9384-9717-40B3-A6AF-92136811EF60}">
          <x14:formula1>
            <xm:f>'EF Table'!$C$79:$C$82</xm:f>
          </x14:formula1>
          <xm:sqref>X27 Q27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9F62D-B7AE-4EA7-B326-DE375882C540}">
  <sheetPr codeName="EF_Table">
    <tabColor theme="5" tint="0.39997558519241921"/>
  </sheetPr>
  <dimension ref="A1:AG82"/>
  <sheetViews>
    <sheetView topLeftCell="A71" zoomScaleNormal="100" workbookViewId="0">
      <selection activeCell="D89" sqref="D89"/>
    </sheetView>
  </sheetViews>
  <sheetFormatPr defaultColWidth="9.140625" defaultRowHeight="15"/>
  <cols>
    <col min="1" max="1" width="6.5703125" style="648" customWidth="1"/>
    <col min="2" max="2" width="32.85546875" style="649" customWidth="1"/>
    <col min="3" max="3" width="29.28515625" style="649" customWidth="1"/>
    <col min="4" max="4" width="20" style="649" customWidth="1"/>
    <col min="5" max="5" width="23.7109375" style="649" customWidth="1"/>
    <col min="6" max="6" width="15" style="649" customWidth="1"/>
    <col min="7" max="7" width="17.7109375" style="649" customWidth="1"/>
    <col min="8" max="8" width="18.140625" style="649" customWidth="1"/>
    <col min="9" max="9" width="20.140625" style="649" customWidth="1"/>
    <col min="10" max="10" width="15.85546875" style="649" customWidth="1"/>
    <col min="11" max="11" width="32.85546875" style="649" customWidth="1"/>
    <col min="12" max="12" width="17.28515625" style="649" customWidth="1"/>
    <col min="13" max="13" width="16.28515625" style="649" customWidth="1"/>
    <col min="14" max="14" width="28.140625" style="649" bestFit="1" customWidth="1"/>
    <col min="15" max="15" width="12.28515625" style="649" customWidth="1"/>
    <col min="16" max="16" width="14.7109375" style="649" bestFit="1" customWidth="1"/>
    <col min="17" max="17" width="18" style="649" bestFit="1" customWidth="1"/>
    <col min="18" max="18" width="10.85546875" style="649" customWidth="1"/>
    <col min="19" max="19" width="12.5703125" style="649" bestFit="1" customWidth="1"/>
    <col min="20" max="28" width="10.5703125" style="649" bestFit="1" customWidth="1"/>
    <col min="29" max="29" width="11.5703125" style="649" bestFit="1" customWidth="1"/>
    <col min="30" max="30" width="10.5703125" style="649" bestFit="1" customWidth="1"/>
    <col min="31" max="31" width="10.5703125" style="649" customWidth="1"/>
    <col min="32" max="32" width="10.5703125" style="649" bestFit="1" customWidth="1"/>
    <col min="33" max="33" width="11" style="649" bestFit="1" customWidth="1"/>
    <col min="34" max="16384" width="9.140625" style="649"/>
  </cols>
  <sheetData>
    <row r="1" spans="1:33" ht="52.5" customHeight="1">
      <c r="C1" s="650"/>
    </row>
    <row r="2" spans="1:33" s="652" customFormat="1" ht="32.25" customHeight="1">
      <c r="A2" s="651"/>
      <c r="C2" s="1094" t="s">
        <v>466</v>
      </c>
      <c r="D2" s="1094"/>
      <c r="E2" s="1094"/>
      <c r="F2" s="1094"/>
      <c r="G2" s="649"/>
      <c r="H2" s="649"/>
      <c r="I2" s="649"/>
      <c r="J2" s="649"/>
      <c r="K2" s="649"/>
      <c r="L2" s="649"/>
      <c r="M2" s="649"/>
      <c r="N2" s="649"/>
      <c r="O2" s="649"/>
    </row>
    <row r="3" spans="1:33">
      <c r="C3" s="657"/>
      <c r="D3" s="657"/>
      <c r="E3" s="657"/>
      <c r="F3" s="657"/>
      <c r="G3" s="657"/>
      <c r="H3" s="657"/>
      <c r="I3" s="657"/>
      <c r="J3" s="657"/>
      <c r="K3" s="657"/>
      <c r="L3" s="657"/>
      <c r="M3" s="657"/>
      <c r="N3" s="657"/>
      <c r="O3" s="657"/>
      <c r="P3" s="657"/>
      <c r="Q3" s="657"/>
      <c r="R3" s="657"/>
      <c r="S3" s="657"/>
      <c r="T3" s="657"/>
      <c r="U3" s="657"/>
      <c r="V3" s="657"/>
      <c r="W3" s="657"/>
      <c r="X3" s="657"/>
      <c r="Y3" s="657"/>
      <c r="Z3" s="657"/>
      <c r="AA3" s="657"/>
      <c r="AB3" s="657"/>
      <c r="AC3" s="657"/>
      <c r="AD3" s="657"/>
      <c r="AE3" s="657"/>
      <c r="AF3" s="657"/>
      <c r="AG3" s="657"/>
    </row>
    <row r="4" spans="1:33" ht="18" customHeight="1">
      <c r="C4" s="1078" t="s">
        <v>467</v>
      </c>
      <c r="D4" s="671" t="s">
        <v>468</v>
      </c>
      <c r="E4" s="868">
        <v>474.148181146963</v>
      </c>
      <c r="F4" s="1102" t="s">
        <v>424</v>
      </c>
    </row>
    <row r="5" spans="1:33" ht="18" customHeight="1">
      <c r="C5" s="1098"/>
      <c r="D5" s="671" t="s">
        <v>469</v>
      </c>
      <c r="E5" s="655"/>
      <c r="F5" s="1103"/>
    </row>
    <row r="6" spans="1:33" ht="18" customHeight="1">
      <c r="C6" s="1098"/>
      <c r="D6" s="671" t="s">
        <v>470</v>
      </c>
      <c r="E6" s="869">
        <v>739.37369659441003</v>
      </c>
      <c r="F6" s="1103"/>
    </row>
    <row r="7" spans="1:33" ht="18" customHeight="1">
      <c r="C7" s="1098"/>
      <c r="D7" s="671" t="s">
        <v>471</v>
      </c>
      <c r="E7" s="869">
        <v>305.05954532367298</v>
      </c>
      <c r="F7" s="1103"/>
    </row>
    <row r="8" spans="1:33" ht="18" customHeight="1">
      <c r="C8" s="1098"/>
      <c r="D8" s="671" t="s">
        <v>472</v>
      </c>
      <c r="E8" s="869">
        <v>452.59799644549003</v>
      </c>
      <c r="F8" s="1103"/>
    </row>
    <row r="9" spans="1:33" ht="18" customHeight="1">
      <c r="C9" s="1098"/>
      <c r="D9" s="671" t="s">
        <v>356</v>
      </c>
      <c r="E9" s="869">
        <v>329.31550896542899</v>
      </c>
      <c r="F9" s="1103"/>
    </row>
    <row r="10" spans="1:33" ht="18" customHeight="1">
      <c r="C10" s="1098"/>
      <c r="D10" s="671" t="s">
        <v>473</v>
      </c>
      <c r="E10" s="869">
        <v>470.46037472212402</v>
      </c>
      <c r="F10" s="1103"/>
    </row>
    <row r="11" spans="1:33" ht="18" customHeight="1">
      <c r="C11" s="1098"/>
      <c r="D11" s="671" t="s">
        <v>474</v>
      </c>
      <c r="E11" s="869">
        <v>500.08978131814303</v>
      </c>
      <c r="F11" s="1103"/>
    </row>
    <row r="12" spans="1:33" ht="18" customHeight="1">
      <c r="C12" s="1098"/>
      <c r="D12" s="671" t="s">
        <v>475</v>
      </c>
      <c r="E12" s="869">
        <v>729.76964401039004</v>
      </c>
      <c r="F12" s="1103"/>
    </row>
    <row r="13" spans="1:33" ht="18" customHeight="1">
      <c r="C13" s="1098"/>
      <c r="D13" s="671" t="s">
        <v>476</v>
      </c>
      <c r="E13" s="869">
        <v>993.04090753329399</v>
      </c>
      <c r="F13" s="1103"/>
    </row>
    <row r="14" spans="1:33" ht="18" customHeight="1">
      <c r="C14" s="1098"/>
      <c r="D14" s="671" t="s">
        <v>477</v>
      </c>
      <c r="E14" s="869">
        <v>835.17296460818795</v>
      </c>
      <c r="F14" s="1103"/>
    </row>
    <row r="15" spans="1:33" ht="18" customHeight="1">
      <c r="C15" s="1098"/>
      <c r="D15" s="671" t="s">
        <v>478</v>
      </c>
      <c r="E15" s="869">
        <v>522.27552659354001</v>
      </c>
      <c r="F15" s="1103"/>
    </row>
    <row r="16" spans="1:33" ht="18" customHeight="1">
      <c r="C16" s="1098"/>
      <c r="D16" s="671" t="s">
        <v>479</v>
      </c>
      <c r="E16" s="869">
        <v>343.933375462127</v>
      </c>
      <c r="F16" s="1103"/>
    </row>
    <row r="17" spans="3:6" ht="18" customHeight="1">
      <c r="C17" s="1098"/>
      <c r="D17" s="671" t="s">
        <v>480</v>
      </c>
      <c r="E17" s="869">
        <v>341.73208620640702</v>
      </c>
      <c r="F17" s="1103"/>
    </row>
    <row r="18" spans="3:6" ht="18" customHeight="1">
      <c r="C18" s="1098"/>
      <c r="D18" s="671" t="s">
        <v>481</v>
      </c>
      <c r="E18" s="869">
        <v>522.59100411129396</v>
      </c>
      <c r="F18" s="1103"/>
    </row>
    <row r="19" spans="3:6" ht="18" customHeight="1">
      <c r="C19" s="1098"/>
      <c r="D19" s="671" t="s">
        <v>482</v>
      </c>
      <c r="E19" s="869">
        <v>603.06056459569595</v>
      </c>
      <c r="F19" s="1103"/>
    </row>
    <row r="20" spans="3:6" ht="18" customHeight="1">
      <c r="C20" s="1098"/>
      <c r="D20" s="671" t="s">
        <v>483</v>
      </c>
      <c r="E20" s="869">
        <v>153.920304055846</v>
      </c>
      <c r="F20" s="1103"/>
    </row>
    <row r="21" spans="3:6" ht="18" customHeight="1">
      <c r="C21" s="1098"/>
      <c r="D21" s="671" t="s">
        <v>484</v>
      </c>
      <c r="E21" s="869">
        <v>864.84803647299805</v>
      </c>
      <c r="F21" s="1103"/>
    </row>
    <row r="22" spans="3:6" ht="18" customHeight="1">
      <c r="C22" s="1098"/>
      <c r="D22" s="671" t="s">
        <v>485</v>
      </c>
      <c r="E22" s="869">
        <v>403.02327991490301</v>
      </c>
      <c r="F22" s="1103"/>
    </row>
    <row r="23" spans="3:6" ht="18" customHeight="1">
      <c r="C23" s="1098"/>
      <c r="D23" s="671" t="s">
        <v>486</v>
      </c>
      <c r="E23" s="869">
        <v>647.65601416559605</v>
      </c>
      <c r="F23" s="1103"/>
    </row>
    <row r="24" spans="3:6" ht="18" customHeight="1">
      <c r="C24" s="1098"/>
      <c r="D24" s="671" t="s">
        <v>487</v>
      </c>
      <c r="E24" s="869">
        <v>571.73848830541203</v>
      </c>
      <c r="F24" s="1103"/>
    </row>
    <row r="25" spans="3:6" ht="18" customHeight="1">
      <c r="C25" s="1098"/>
      <c r="D25" s="671" t="s">
        <v>488</v>
      </c>
      <c r="E25" s="869">
        <v>581.24471143848803</v>
      </c>
      <c r="F25" s="1103"/>
    </row>
    <row r="26" spans="3:6" ht="18" customHeight="1">
      <c r="C26" s="1098"/>
      <c r="D26" s="671" t="s">
        <v>489</v>
      </c>
      <c r="E26" s="869">
        <v>518.57796111835</v>
      </c>
      <c r="F26" s="1103"/>
    </row>
    <row r="27" spans="3:6" ht="18" customHeight="1">
      <c r="C27" s="1098"/>
      <c r="D27" s="671" t="s">
        <v>490</v>
      </c>
      <c r="E27" s="869">
        <v>538.184671025753</v>
      </c>
      <c r="F27" s="1103"/>
    </row>
    <row r="28" spans="3:6" ht="18" customHeight="1">
      <c r="C28" s="1098"/>
      <c r="D28" s="671" t="s">
        <v>491</v>
      </c>
      <c r="E28" s="869">
        <v>480.14759046268898</v>
      </c>
      <c r="F28" s="1103"/>
    </row>
    <row r="29" spans="3:6" ht="18" customHeight="1">
      <c r="C29" s="1098"/>
      <c r="D29" s="671" t="s">
        <v>492</v>
      </c>
      <c r="E29" s="869">
        <v>820.12969419368801</v>
      </c>
      <c r="F29" s="1103"/>
    </row>
    <row r="30" spans="3:6" ht="18" customHeight="1">
      <c r="C30" s="1098"/>
      <c r="D30" s="671" t="s">
        <v>493</v>
      </c>
      <c r="E30" s="869">
        <v>508.71583031653398</v>
      </c>
      <c r="F30" s="1103"/>
    </row>
    <row r="31" spans="3:6" ht="18" customHeight="1">
      <c r="C31" s="1098"/>
      <c r="D31" s="671" t="s">
        <v>494</v>
      </c>
      <c r="E31" s="869">
        <v>503.56199416647001</v>
      </c>
      <c r="F31" s="1103"/>
    </row>
    <row r="32" spans="3:6" ht="18" customHeight="1">
      <c r="C32" s="1098"/>
      <c r="D32" s="671" t="s">
        <v>495</v>
      </c>
      <c r="E32" s="869">
        <v>370.78940202248202</v>
      </c>
      <c r="F32" s="1103"/>
    </row>
    <row r="33" spans="3:14" ht="18" customHeight="1">
      <c r="C33" s="1098"/>
      <c r="D33" s="671" t="s">
        <v>496</v>
      </c>
      <c r="E33" s="869">
        <v>110.572733592188</v>
      </c>
      <c r="F33" s="1103"/>
    </row>
    <row r="34" spans="3:14" ht="18" customHeight="1">
      <c r="C34" s="1079"/>
      <c r="D34" s="671" t="s">
        <v>497</v>
      </c>
      <c r="E34" s="869">
        <v>142.58733454776299</v>
      </c>
      <c r="F34" s="1104"/>
    </row>
    <row r="37" spans="3:14" ht="18" customHeight="1">
      <c r="C37" s="1078" t="s">
        <v>368</v>
      </c>
      <c r="D37" s="1078" t="s">
        <v>498</v>
      </c>
      <c r="E37" s="666" t="s">
        <v>499</v>
      </c>
      <c r="F37" s="667">
        <v>3.2477899430252798E-6</v>
      </c>
      <c r="G37" s="668" t="s">
        <v>500</v>
      </c>
    </row>
    <row r="38" spans="3:14" ht="18" customHeight="1">
      <c r="C38" s="1098"/>
      <c r="D38" s="1098"/>
      <c r="E38" s="669" t="s">
        <v>501</v>
      </c>
      <c r="F38" s="670">
        <v>3.88751077308224E-3</v>
      </c>
      <c r="G38" s="1099" t="s">
        <v>502</v>
      </c>
    </row>
    <row r="39" spans="3:14" ht="18" customHeight="1">
      <c r="C39" s="1098"/>
      <c r="D39" s="1102" t="s">
        <v>503</v>
      </c>
      <c r="E39" s="671" t="s">
        <v>504</v>
      </c>
      <c r="F39" s="670">
        <v>6.5830682984853997E-3</v>
      </c>
      <c r="G39" s="1100"/>
    </row>
    <row r="40" spans="3:14" ht="29.1" customHeight="1">
      <c r="C40" s="1098"/>
      <c r="D40" s="1103"/>
      <c r="E40" s="671" t="s">
        <v>505</v>
      </c>
      <c r="F40" s="670">
        <v>3.1186834785788902E-3</v>
      </c>
      <c r="G40" s="1101" t="s">
        <v>68</v>
      </c>
    </row>
    <row r="41" spans="3:14" ht="29.1" customHeight="1">
      <c r="C41" s="1098"/>
      <c r="D41" s="1104"/>
      <c r="E41" s="671" t="s">
        <v>506</v>
      </c>
      <c r="F41" s="670">
        <v>1.5593417392894399E-2</v>
      </c>
      <c r="G41" s="1101"/>
    </row>
    <row r="42" spans="3:14" ht="18" customHeight="1">
      <c r="C42" s="1079"/>
      <c r="D42" s="660" t="s">
        <v>507</v>
      </c>
      <c r="E42" s="671" t="s">
        <v>508</v>
      </c>
      <c r="F42" s="870">
        <v>2.96363943991798</v>
      </c>
      <c r="G42" s="849" t="s">
        <v>509</v>
      </c>
    </row>
    <row r="45" spans="3:14" ht="18" customHeight="1">
      <c r="C45" s="679" t="s">
        <v>510</v>
      </c>
      <c r="D45" s="658"/>
      <c r="E45" s="672"/>
      <c r="F45" s="672"/>
      <c r="G45" s="672"/>
      <c r="H45" s="672"/>
      <c r="I45" s="672"/>
      <c r="J45" s="672"/>
      <c r="K45" s="673"/>
      <c r="L45" s="673"/>
      <c r="M45" s="673"/>
      <c r="N45" s="673"/>
    </row>
    <row r="46" spans="3:14" ht="45">
      <c r="C46" s="659" t="s">
        <v>511</v>
      </c>
      <c r="D46" s="660" t="s">
        <v>512</v>
      </c>
      <c r="E46" s="660" t="s">
        <v>513</v>
      </c>
      <c r="F46" s="665" t="s">
        <v>514</v>
      </c>
      <c r="G46" s="660" t="s">
        <v>515</v>
      </c>
      <c r="H46" s="665" t="s">
        <v>516</v>
      </c>
      <c r="I46" s="665" t="s">
        <v>517</v>
      </c>
      <c r="J46" s="665" t="s">
        <v>518</v>
      </c>
      <c r="M46" s="673"/>
    </row>
    <row r="47" spans="3:14" ht="18" customHeight="1">
      <c r="C47" s="659" t="s">
        <v>519</v>
      </c>
      <c r="D47" s="656">
        <v>2.5511998252707828</v>
      </c>
      <c r="E47" s="656">
        <v>4.7050523180272235</v>
      </c>
      <c r="F47" s="656">
        <v>5.7704039883854659</v>
      </c>
      <c r="G47" s="656">
        <f>SUM(D47:F47)</f>
        <v>13.026656131683472</v>
      </c>
      <c r="H47" s="656">
        <v>2.5</v>
      </c>
      <c r="I47" s="656">
        <v>2.54</v>
      </c>
      <c r="J47" s="661"/>
      <c r="M47" s="673"/>
    </row>
    <row r="48" spans="3:14" ht="18" customHeight="1">
      <c r="C48" s="659" t="s">
        <v>520</v>
      </c>
      <c r="D48" s="656">
        <v>12.87981575118523</v>
      </c>
      <c r="E48" s="656">
        <v>2.7292511097303613</v>
      </c>
      <c r="F48" s="656">
        <v>29.546589257434974</v>
      </c>
      <c r="G48" s="656">
        <f>SUM(D48:F48)</f>
        <v>45.155656118350564</v>
      </c>
      <c r="H48" s="656">
        <v>26</v>
      </c>
      <c r="I48" s="656">
        <v>24.97</v>
      </c>
      <c r="J48" s="661"/>
      <c r="M48" s="673"/>
    </row>
    <row r="49" spans="3:13" ht="18" customHeight="1">
      <c r="C49" s="659" t="s">
        <v>521</v>
      </c>
      <c r="D49" s="656">
        <v>197.28910542091313</v>
      </c>
      <c r="E49" s="656">
        <v>32.643829056841838</v>
      </c>
      <c r="F49" s="656">
        <v>118.17221225995459</v>
      </c>
      <c r="G49" s="656">
        <f>SUM(D49:F49)</f>
        <v>348.10514673770956</v>
      </c>
      <c r="H49" s="656">
        <v>48.900001525878899</v>
      </c>
      <c r="I49" s="656">
        <v>1.06</v>
      </c>
      <c r="J49" s="661"/>
      <c r="M49" s="673"/>
    </row>
    <row r="50" spans="3:13" ht="18" customHeight="1">
      <c r="C50" s="659" t="s">
        <v>522</v>
      </c>
      <c r="D50" s="656">
        <v>2.6255949947239794E-2</v>
      </c>
      <c r="E50" s="656">
        <v>2.0070311129236261E-2</v>
      </c>
      <c r="F50" s="656">
        <v>2.0424623098924766</v>
      </c>
      <c r="G50" s="656">
        <f>SUM(D50:F50)</f>
        <v>2.0887885709689527</v>
      </c>
      <c r="H50" s="656">
        <v>1.1000000238418579</v>
      </c>
      <c r="I50" s="656">
        <v>0.35</v>
      </c>
      <c r="J50" s="661"/>
      <c r="M50" s="673"/>
    </row>
    <row r="51" spans="3:13" ht="18" customHeight="1">
      <c r="C51" s="659" t="s">
        <v>523</v>
      </c>
      <c r="D51" s="656">
        <v>3089.2391715582471</v>
      </c>
      <c r="E51" s="656">
        <v>2446.8450768571302</v>
      </c>
      <c r="F51" s="656">
        <v>2590.6035997762237</v>
      </c>
      <c r="G51" s="656">
        <f>SUM(D51:F51)</f>
        <v>8126.687848191601</v>
      </c>
      <c r="H51" s="656">
        <v>59189.791154633895</v>
      </c>
      <c r="I51" s="656">
        <v>59323.120059395798</v>
      </c>
      <c r="J51" s="661"/>
      <c r="M51" s="673"/>
    </row>
    <row r="52" spans="3:13" ht="18" customHeight="1">
      <c r="C52" s="662" t="s">
        <v>524</v>
      </c>
      <c r="D52" s="661">
        <f>(D47*Reference!$B$22+D48*Reference!$B$23+D49*Reference!$B$20+D50*Reference!$B$21+D51)/Reference!$H$45</f>
        <v>7.6370194336981578</v>
      </c>
      <c r="E52" s="661">
        <f>(E47*Reference!$B$22+E48*Reference!$B$23+E49*Reference!$B$20+E50*Reference!$B$21+E51)/Reference!$H$45</f>
        <v>3.1163038988804623</v>
      </c>
      <c r="F52" s="661">
        <f>(F47*Reference!$B$22+F48*Reference!$B$23+F49*Reference!$B$20+F50*Reference!$B$21+F51)/Reference!$H$45</f>
        <v>5.8935055001441352</v>
      </c>
      <c r="G52" s="674">
        <f>(G47*Reference!$B$22+G48*Reference!$B$23+G49*Reference!$B$20+G50*Reference!$B$21+G51)/Reference!$H$45</f>
        <v>16.646828832722754</v>
      </c>
      <c r="H52" s="663">
        <f>(H47*Reference!$B$22+H48*Reference!$B$23+H49*Reference!$B$20+H50*Reference!$B$21+H51)/Reference!$H$45</f>
        <v>57.616608646271715</v>
      </c>
      <c r="I52" s="663">
        <f>(I47*Reference!$B$22+I48*Reference!$B$23+I49*Reference!$B$20+I50*Reference!$B$21+I51)/Reference!$H$45</f>
        <v>56.396137668122222</v>
      </c>
      <c r="J52" s="661">
        <f>G52+H52</f>
        <v>74.263437478994462</v>
      </c>
      <c r="L52" s="673"/>
      <c r="M52" s="673"/>
    </row>
    <row r="53" spans="3:13" ht="18" customHeight="1">
      <c r="C53" s="672"/>
      <c r="D53" s="675"/>
      <c r="E53" s="675"/>
      <c r="F53" s="654"/>
      <c r="G53" s="664" t="s">
        <v>525</v>
      </c>
      <c r="H53" s="661">
        <f>(H47*Reference!$B$22+H48*Reference!$B$23+H49*Reference!$B$20+H50*Reference!$B$21)/Reference!$H$45</f>
        <v>1.515511102825178</v>
      </c>
      <c r="I53" s="661">
        <f>(I47*Reference!$B$22+I48*Reference!$B$23+I49*Reference!$B$20+I50*Reference!$B$21)/Reference!$H$45</f>
        <v>0.16866870579591095</v>
      </c>
      <c r="J53" s="676"/>
      <c r="L53" s="673"/>
      <c r="M53" s="673"/>
    </row>
    <row r="55" spans="3:13" ht="18" customHeight="1">
      <c r="C55" s="550" t="s">
        <v>526</v>
      </c>
      <c r="D55" s="1096"/>
    </row>
    <row r="56" spans="3:13" ht="18" customHeight="1">
      <c r="C56" s="659" t="s">
        <v>527</v>
      </c>
      <c r="D56" s="1097"/>
    </row>
    <row r="57" spans="3:13" ht="18" customHeight="1">
      <c r="C57" s="659" t="s">
        <v>519</v>
      </c>
      <c r="D57" s="677">
        <v>23.666</v>
      </c>
    </row>
    <row r="58" spans="3:13" ht="18" customHeight="1">
      <c r="C58" s="659" t="s">
        <v>520</v>
      </c>
      <c r="D58" s="677">
        <v>41.469000000000001</v>
      </c>
    </row>
    <row r="59" spans="3:13" ht="18" customHeight="1">
      <c r="C59" s="659" t="s">
        <v>521</v>
      </c>
      <c r="D59" s="677">
        <v>31.587</v>
      </c>
    </row>
    <row r="60" spans="3:13" ht="18" customHeight="1">
      <c r="C60" s="659" t="s">
        <v>522</v>
      </c>
      <c r="D60" s="677">
        <v>1.1000000000000001</v>
      </c>
    </row>
    <row r="61" spans="3:13" ht="18" customHeight="1">
      <c r="C61" s="659" t="s">
        <v>523</v>
      </c>
      <c r="D61" s="677">
        <v>59147.401109395796</v>
      </c>
    </row>
    <row r="62" spans="3:13" ht="18" customHeight="1">
      <c r="C62" s="659" t="s">
        <v>524</v>
      </c>
      <c r="D62" s="678">
        <f>(D57*Reference!$B$22+D58*Reference!$B$23+D59*Reference!$B$20+D60*Reference!$B$21+D61)/Reference!$H$45</f>
        <v>57.251756591044639</v>
      </c>
    </row>
    <row r="64" spans="3:13" ht="18" customHeight="1">
      <c r="C64" s="679" t="s">
        <v>528</v>
      </c>
      <c r="D64" s="680"/>
      <c r="E64" s="681"/>
      <c r="H64" s="682"/>
      <c r="I64" s="682"/>
    </row>
    <row r="65" spans="3:9" ht="18" customHeight="1">
      <c r="C65" s="679" t="s">
        <v>529</v>
      </c>
      <c r="D65" s="680"/>
      <c r="H65" s="673"/>
    </row>
    <row r="66" spans="3:9" ht="18" customHeight="1">
      <c r="C66" s="659" t="s">
        <v>519</v>
      </c>
      <c r="D66" s="677">
        <v>62.701000000000001</v>
      </c>
      <c r="E66" s="683"/>
      <c r="H66" s="673"/>
    </row>
    <row r="67" spans="3:9" ht="18" customHeight="1">
      <c r="C67" s="659" t="s">
        <v>520</v>
      </c>
      <c r="D67" s="677">
        <v>273.49700000000001</v>
      </c>
      <c r="E67" s="683"/>
      <c r="H67" s="673"/>
    </row>
    <row r="68" spans="3:9" ht="18" customHeight="1">
      <c r="C68" s="659" t="s">
        <v>521</v>
      </c>
      <c r="D68" s="677">
        <v>445.95800000000003</v>
      </c>
      <c r="E68" s="683"/>
      <c r="H68" s="673"/>
    </row>
    <row r="69" spans="3:9" ht="18" customHeight="1">
      <c r="C69" s="659" t="s">
        <v>522</v>
      </c>
      <c r="D69" s="677">
        <v>0.86699999999999999</v>
      </c>
      <c r="E69" s="683"/>
      <c r="H69" s="673"/>
    </row>
    <row r="70" spans="3:9" ht="18" customHeight="1">
      <c r="C70" s="659" t="s">
        <v>523</v>
      </c>
      <c r="D70" s="677">
        <v>57521.606347491041</v>
      </c>
      <c r="E70" s="683"/>
      <c r="H70" s="684"/>
      <c r="I70" s="684"/>
    </row>
    <row r="71" spans="3:9" ht="18" customHeight="1">
      <c r="C71" s="659" t="s">
        <v>524</v>
      </c>
      <c r="D71" s="685">
        <f>(D66*Reference!$B$22+D67*Reference!$B$23+D68*Reference!$B$20+D69*Reference!$B$21+D70)/Reference!$H$45</f>
        <v>65.924587275789918</v>
      </c>
      <c r="E71" s="683"/>
      <c r="H71" s="686"/>
      <c r="I71" s="684"/>
    </row>
    <row r="72" spans="3:9" ht="18" customHeight="1">
      <c r="C72" s="659" t="s">
        <v>423</v>
      </c>
      <c r="D72" s="687">
        <f>D71*3.6/(0.37)</f>
        <v>641.42841673741543</v>
      </c>
      <c r="E72" s="649" t="s">
        <v>530</v>
      </c>
    </row>
    <row r="74" spans="3:9" ht="26.45" customHeight="1">
      <c r="C74" s="1095" t="s">
        <v>531</v>
      </c>
      <c r="D74" s="1095"/>
      <c r="E74" s="1095"/>
    </row>
    <row r="75" spans="3:9" ht="24.95" customHeight="1">
      <c r="C75" s="550" t="s">
        <v>532</v>
      </c>
      <c r="D75" s="552" t="s">
        <v>426</v>
      </c>
      <c r="E75" s="552" t="s">
        <v>533</v>
      </c>
    </row>
    <row r="76" spans="3:9" ht="18" customHeight="1">
      <c r="C76" s="659" t="s">
        <v>534</v>
      </c>
      <c r="D76" s="677">
        <v>12308.3541997418</v>
      </c>
      <c r="E76" s="669" t="s">
        <v>535</v>
      </c>
    </row>
    <row r="77" spans="3:9" ht="18" customHeight="1">
      <c r="C77" s="659" t="s">
        <v>536</v>
      </c>
      <c r="D77" s="677">
        <v>75495.751250270798</v>
      </c>
      <c r="E77" s="669" t="s">
        <v>422</v>
      </c>
    </row>
    <row r="78" spans="3:9" ht="18" customHeight="1">
      <c r="C78" s="659" t="s">
        <v>537</v>
      </c>
      <c r="D78" s="677">
        <f>VLOOKUP('Biogas-to-RNG'!D24,D4:E34,2,FALSE)</f>
        <v>329.31550896542899</v>
      </c>
      <c r="E78" s="669" t="s">
        <v>423</v>
      </c>
    </row>
    <row r="79" spans="3:9" ht="18" customHeight="1">
      <c r="C79" s="659" t="s">
        <v>538</v>
      </c>
      <c r="D79" s="677">
        <v>7345.27740286076</v>
      </c>
      <c r="E79" s="669" t="s">
        <v>421</v>
      </c>
    </row>
    <row r="80" spans="3:9" ht="18" customHeight="1">
      <c r="C80" s="834" t="s">
        <v>407</v>
      </c>
      <c r="D80" s="834"/>
      <c r="E80" s="835" t="s">
        <v>539</v>
      </c>
    </row>
    <row r="81" spans="3:5" ht="18" customHeight="1">
      <c r="C81" s="834" t="s">
        <v>408</v>
      </c>
      <c r="D81" s="834"/>
      <c r="E81" s="835" t="s">
        <v>539</v>
      </c>
    </row>
    <row r="82" spans="3:5" ht="18" customHeight="1">
      <c r="C82" s="834" t="s">
        <v>409</v>
      </c>
      <c r="D82" s="834"/>
      <c r="E82" s="835" t="s">
        <v>539</v>
      </c>
    </row>
  </sheetData>
  <mergeCells count="10">
    <mergeCell ref="C2:F2"/>
    <mergeCell ref="C74:E74"/>
    <mergeCell ref="D55:D56"/>
    <mergeCell ref="D37:D38"/>
    <mergeCell ref="G38:G39"/>
    <mergeCell ref="G40:G41"/>
    <mergeCell ref="C4:C34"/>
    <mergeCell ref="F4:F34"/>
    <mergeCell ref="D39:D41"/>
    <mergeCell ref="C37:C42"/>
  </mergeCells>
  <pageMargins left="0.7" right="0.7" top="0.75" bottom="0.75" header="0.3" footer="0.3"/>
  <pageSetup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3D20E-9C82-4DC4-BD70-0EEFF1C96212}">
  <sheetPr codeName="Reference">
    <tabColor rgb="FFFFFF00"/>
  </sheetPr>
  <dimension ref="A1:U227"/>
  <sheetViews>
    <sheetView zoomScaleNormal="100" workbookViewId="0"/>
  </sheetViews>
  <sheetFormatPr defaultRowHeight="15"/>
  <cols>
    <col min="1" max="1" width="42.140625" customWidth="1"/>
    <col min="2" max="2" width="19.140625" customWidth="1"/>
    <col min="3" max="3" width="19.85546875" customWidth="1"/>
    <col min="4" max="4" width="17.140625" customWidth="1"/>
    <col min="5" max="5" width="11.85546875" customWidth="1"/>
    <col min="6" max="6" width="18.140625" customWidth="1"/>
    <col min="7" max="7" width="12.42578125" customWidth="1"/>
    <col min="8" max="8" width="14.28515625" customWidth="1"/>
    <col min="9" max="9" width="10.5703125" customWidth="1"/>
    <col min="10" max="10" width="9.85546875" customWidth="1"/>
    <col min="11" max="11" width="10.28515625" bestFit="1" customWidth="1"/>
    <col min="13" max="13" width="11.5703125" bestFit="1" customWidth="1"/>
    <col min="21" max="21" width="108.140625" customWidth="1"/>
  </cols>
  <sheetData>
    <row r="1" spans="1:18" ht="46.5">
      <c r="A1" s="266"/>
    </row>
    <row r="3" spans="1:18" ht="15.75">
      <c r="A3" s="688"/>
    </row>
    <row r="4" spans="1:18">
      <c r="A4" s="689" t="s">
        <v>540</v>
      </c>
      <c r="B4" s="690"/>
      <c r="C4" s="690"/>
      <c r="D4" s="690"/>
      <c r="E4" s="690"/>
      <c r="F4" s="690"/>
    </row>
    <row r="5" spans="1:18">
      <c r="A5" s="691" t="s">
        <v>541</v>
      </c>
      <c r="B5" s="692" t="s">
        <v>542</v>
      </c>
      <c r="C5" s="692"/>
      <c r="D5" s="692"/>
      <c r="E5" s="693" t="s">
        <v>543</v>
      </c>
      <c r="F5" s="694"/>
    </row>
    <row r="6" spans="1:18">
      <c r="A6" s="693"/>
      <c r="B6" s="695" t="s">
        <v>544</v>
      </c>
      <c r="C6" s="693" t="s">
        <v>545</v>
      </c>
      <c r="D6" s="693" t="s">
        <v>546</v>
      </c>
      <c r="E6" s="693"/>
      <c r="F6" s="696" t="s">
        <v>547</v>
      </c>
    </row>
    <row r="7" spans="1:18">
      <c r="A7" s="697" t="s">
        <v>548</v>
      </c>
      <c r="B7" s="697">
        <v>1</v>
      </c>
      <c r="C7" s="698" t="s">
        <v>549</v>
      </c>
      <c r="D7" s="698"/>
      <c r="E7" s="697"/>
      <c r="F7" s="699"/>
    </row>
    <row r="8" spans="1:18">
      <c r="A8" s="697" t="s">
        <v>550</v>
      </c>
      <c r="B8" s="693" t="s">
        <v>551</v>
      </c>
      <c r="C8" s="693" t="s">
        <v>551</v>
      </c>
      <c r="D8" s="693" t="s">
        <v>551</v>
      </c>
      <c r="E8" s="693" t="s">
        <v>552</v>
      </c>
      <c r="F8" s="699"/>
    </row>
    <row r="9" spans="1:18">
      <c r="A9" s="700" t="s">
        <v>553</v>
      </c>
      <c r="B9" s="701">
        <v>128450</v>
      </c>
      <c r="C9" s="701">
        <v>128450</v>
      </c>
      <c r="D9" s="701">
        <v>137380</v>
      </c>
      <c r="E9" s="701">
        <v>3167</v>
      </c>
      <c r="F9" s="702">
        <v>0.93499781627602274</v>
      </c>
      <c r="R9" s="703"/>
    </row>
    <row r="10" spans="1:18">
      <c r="A10" s="704" t="s">
        <v>554</v>
      </c>
      <c r="B10" s="701"/>
      <c r="C10" s="701"/>
      <c r="D10" s="701"/>
      <c r="E10" s="701"/>
      <c r="F10" s="702"/>
    </row>
    <row r="11" spans="1:18">
      <c r="A11" s="704" t="s">
        <v>555</v>
      </c>
      <c r="B11" s="701">
        <v>127460</v>
      </c>
      <c r="C11" s="701">
        <v>127460</v>
      </c>
      <c r="D11" s="701">
        <v>133075.138792035</v>
      </c>
      <c r="E11" s="701">
        <v>3142</v>
      </c>
      <c r="F11" s="702">
        <v>0.95780474968498719</v>
      </c>
    </row>
    <row r="12" spans="1:18">
      <c r="A12" s="704" t="s">
        <v>556</v>
      </c>
      <c r="B12" s="701">
        <v>84950</v>
      </c>
      <c r="C12" s="701">
        <v>84950</v>
      </c>
      <c r="D12" s="701">
        <v>91410</v>
      </c>
      <c r="E12" s="701">
        <v>1923</v>
      </c>
      <c r="F12" s="702">
        <v>0.9293293950333662</v>
      </c>
    </row>
    <row r="13" spans="1:18">
      <c r="A13" s="704" t="s">
        <v>557</v>
      </c>
      <c r="B13" s="701">
        <v>74720</v>
      </c>
      <c r="C13" s="701">
        <v>74720</v>
      </c>
      <c r="D13" s="701">
        <v>84820</v>
      </c>
      <c r="E13" s="701">
        <v>1621</v>
      </c>
      <c r="F13" s="702">
        <v>0.88092431030417351</v>
      </c>
    </row>
    <row r="14" spans="1:18">
      <c r="A14" s="705" t="s">
        <v>558</v>
      </c>
      <c r="B14" s="706" t="s">
        <v>559</v>
      </c>
      <c r="C14" s="707" t="s">
        <v>559</v>
      </c>
      <c r="D14" s="707" t="s">
        <v>559</v>
      </c>
      <c r="E14" s="707" t="s">
        <v>560</v>
      </c>
      <c r="F14" s="708" t="s">
        <v>547</v>
      </c>
    </row>
    <row r="15" spans="1:18">
      <c r="A15" s="704" t="s">
        <v>561</v>
      </c>
      <c r="B15" s="701">
        <v>930</v>
      </c>
      <c r="C15" s="701">
        <v>930</v>
      </c>
      <c r="D15" s="701">
        <v>1030</v>
      </c>
      <c r="E15" s="709">
        <v>20.8</v>
      </c>
      <c r="F15" s="702">
        <v>0.90291262135922334</v>
      </c>
    </row>
    <row r="16" spans="1:18">
      <c r="A16" s="710" t="s">
        <v>562</v>
      </c>
      <c r="B16" s="701">
        <v>910</v>
      </c>
      <c r="C16" s="711">
        <v>910</v>
      </c>
      <c r="D16" s="712">
        <v>1010</v>
      </c>
      <c r="E16" s="713">
        <v>19.2</v>
      </c>
      <c r="F16" s="702">
        <v>0.90074906367041196</v>
      </c>
    </row>
    <row r="17" spans="1:8">
      <c r="A17" s="714"/>
      <c r="B17" s="703"/>
      <c r="C17" s="703"/>
      <c r="D17" s="703"/>
      <c r="E17" s="714"/>
      <c r="F17" s="715"/>
      <c r="G17" s="703"/>
      <c r="H17" s="716"/>
    </row>
    <row r="18" spans="1:8">
      <c r="A18" s="689" t="s">
        <v>563</v>
      </c>
      <c r="B18" s="717"/>
      <c r="C18" s="714"/>
      <c r="D18" s="714"/>
      <c r="E18" s="714"/>
      <c r="F18" s="714"/>
    </row>
    <row r="19" spans="1:8">
      <c r="A19" s="718" t="s">
        <v>523</v>
      </c>
      <c r="B19" s="701">
        <v>1</v>
      </c>
    </row>
    <row r="20" spans="1:8">
      <c r="A20" s="718" t="s">
        <v>521</v>
      </c>
      <c r="B20" s="701">
        <v>25</v>
      </c>
      <c r="E20" s="719"/>
    </row>
    <row r="21" spans="1:8">
      <c r="A21" s="718" t="s">
        <v>522</v>
      </c>
      <c r="B21" s="701">
        <v>298</v>
      </c>
    </row>
    <row r="22" spans="1:8">
      <c r="A22" s="718" t="s">
        <v>519</v>
      </c>
      <c r="B22" s="720">
        <v>3.1166666666666667</v>
      </c>
    </row>
    <row r="23" spans="1:8">
      <c r="A23" s="718" t="s">
        <v>520</v>
      </c>
      <c r="B23" s="720">
        <v>1.5714285714285714</v>
      </c>
    </row>
    <row r="24" spans="1:8">
      <c r="A24" s="718" t="s">
        <v>564</v>
      </c>
      <c r="B24" s="701">
        <v>0</v>
      </c>
    </row>
    <row r="27" spans="1:8">
      <c r="A27" s="689" t="s">
        <v>565</v>
      </c>
      <c r="B27" s="721"/>
      <c r="C27" s="721"/>
      <c r="D27" s="721"/>
      <c r="E27" s="721"/>
      <c r="F27" s="721"/>
    </row>
    <row r="28" spans="1:8">
      <c r="A28" s="722" t="s">
        <v>566</v>
      </c>
      <c r="B28" s="723" t="s">
        <v>567</v>
      </c>
      <c r="C28" s="723" t="s">
        <v>568</v>
      </c>
      <c r="D28" s="723" t="s">
        <v>569</v>
      </c>
      <c r="E28" s="723" t="s">
        <v>570</v>
      </c>
      <c r="F28" s="723" t="s">
        <v>571</v>
      </c>
      <c r="G28" s="714"/>
      <c r="H28" s="714"/>
    </row>
    <row r="29" spans="1:8">
      <c r="A29" s="723" t="s">
        <v>572</v>
      </c>
      <c r="B29" s="724">
        <v>1</v>
      </c>
      <c r="C29" s="724">
        <v>1000</v>
      </c>
      <c r="D29" s="724">
        <v>1000000</v>
      </c>
      <c r="E29" s="725">
        <v>453.59237000000002</v>
      </c>
      <c r="F29" s="724">
        <v>907184.74</v>
      </c>
      <c r="G29" s="714"/>
      <c r="H29" s="714"/>
    </row>
    <row r="30" spans="1:8">
      <c r="A30" s="723" t="s">
        <v>573</v>
      </c>
      <c r="B30" s="726">
        <v>1E-3</v>
      </c>
      <c r="C30" s="724">
        <v>1</v>
      </c>
      <c r="D30" s="724">
        <v>1000</v>
      </c>
      <c r="E30" s="725">
        <v>0.45359237000000002</v>
      </c>
      <c r="F30" s="725">
        <v>907.18474000000003</v>
      </c>
      <c r="G30" s="714"/>
      <c r="H30" s="714"/>
    </row>
    <row r="31" spans="1:8">
      <c r="A31" s="723" t="s">
        <v>574</v>
      </c>
      <c r="B31" s="726">
        <v>9.9999999999999995E-7</v>
      </c>
      <c r="C31" s="726">
        <v>1E-3</v>
      </c>
      <c r="D31" s="724">
        <v>1</v>
      </c>
      <c r="E31" s="726">
        <v>4.5359237000000004E-4</v>
      </c>
      <c r="F31" s="725">
        <v>0.90718474000000004</v>
      </c>
      <c r="G31" s="714"/>
      <c r="H31" s="714"/>
    </row>
    <row r="32" spans="1:8">
      <c r="A32" s="723" t="s">
        <v>575</v>
      </c>
      <c r="B32" s="726">
        <v>2.2046226218487759E-3</v>
      </c>
      <c r="C32" s="725">
        <v>2.2046226218487757</v>
      </c>
      <c r="D32" s="727">
        <v>2204.6226218487759</v>
      </c>
      <c r="E32" s="724">
        <v>1</v>
      </c>
      <c r="F32" s="724">
        <v>2000</v>
      </c>
      <c r="G32" s="714"/>
      <c r="H32" s="714"/>
    </row>
    <row r="33" spans="1:9">
      <c r="A33" s="723" t="s">
        <v>576</v>
      </c>
      <c r="B33" s="726">
        <v>1.102311310924388E-6</v>
      </c>
      <c r="C33" s="726">
        <v>1.1023113109243879E-3</v>
      </c>
      <c r="D33" s="725">
        <v>1.1023113109243878</v>
      </c>
      <c r="E33" s="726">
        <v>5.0000000000000001E-4</v>
      </c>
      <c r="F33" s="724">
        <v>1</v>
      </c>
      <c r="G33" s="714"/>
      <c r="H33" s="714"/>
      <c r="I33" s="749"/>
    </row>
    <row r="34" spans="1:9">
      <c r="A34" s="714"/>
      <c r="B34" s="714"/>
      <c r="C34" s="714"/>
      <c r="D34" s="714"/>
      <c r="E34" s="714"/>
      <c r="F34" s="714"/>
      <c r="G34" s="714"/>
      <c r="H34" s="714"/>
    </row>
    <row r="35" spans="1:9">
      <c r="A35" s="722" t="s">
        <v>577</v>
      </c>
      <c r="B35" s="723" t="s">
        <v>578</v>
      </c>
      <c r="C35" s="723" t="s">
        <v>579</v>
      </c>
      <c r="D35" s="723" t="s">
        <v>580</v>
      </c>
      <c r="E35" s="723" t="s">
        <v>581</v>
      </c>
      <c r="F35" s="723" t="s">
        <v>582</v>
      </c>
      <c r="G35" s="714"/>
      <c r="H35" s="714"/>
    </row>
    <row r="36" spans="1:9">
      <c r="A36" s="723" t="s">
        <v>583</v>
      </c>
      <c r="B36" s="728">
        <v>1</v>
      </c>
      <c r="C36" s="729">
        <v>9.9999999999999995E-7</v>
      </c>
      <c r="D36" s="730">
        <v>1E-3</v>
      </c>
      <c r="E36" s="731">
        <v>3.7854109999999998E-3</v>
      </c>
      <c r="F36" s="731">
        <v>2.8316846999999999E-2</v>
      </c>
      <c r="G36" s="714"/>
      <c r="H36" s="714"/>
    </row>
    <row r="37" spans="1:9">
      <c r="A37" s="723" t="s">
        <v>584</v>
      </c>
      <c r="B37" s="724">
        <v>1000000</v>
      </c>
      <c r="C37" s="724">
        <v>1</v>
      </c>
      <c r="D37" s="724">
        <v>1000.0000000000001</v>
      </c>
      <c r="E37" s="724">
        <v>3785.4110000000001</v>
      </c>
      <c r="F37" s="724">
        <v>28316.847000000002</v>
      </c>
      <c r="G37" s="714"/>
      <c r="H37" s="714"/>
    </row>
    <row r="38" spans="1:9">
      <c r="A38" s="723" t="s">
        <v>585</v>
      </c>
      <c r="B38" s="724">
        <v>1000</v>
      </c>
      <c r="C38" s="725">
        <v>1E-3</v>
      </c>
      <c r="D38" s="724">
        <v>1</v>
      </c>
      <c r="E38" s="725">
        <v>3.7854109999999999</v>
      </c>
      <c r="F38" s="725">
        <v>28.316846999999999</v>
      </c>
      <c r="G38" s="714"/>
      <c r="H38" s="714"/>
    </row>
    <row r="39" spans="1:9">
      <c r="A39" s="723" t="s">
        <v>586</v>
      </c>
      <c r="B39" s="732">
        <v>264.17210707106841</v>
      </c>
      <c r="C39" s="726">
        <v>2.6417210707106839E-4</v>
      </c>
      <c r="D39" s="725">
        <v>0.26417210707106842</v>
      </c>
      <c r="E39" s="724">
        <v>1</v>
      </c>
      <c r="F39" s="725">
        <v>7.4805211375990615</v>
      </c>
      <c r="G39" s="714"/>
      <c r="H39" s="714"/>
    </row>
    <row r="40" spans="1:9">
      <c r="A40" s="723" t="s">
        <v>587</v>
      </c>
      <c r="B40" s="732">
        <v>35.314666212661322</v>
      </c>
      <c r="C40" s="726">
        <v>3.5314666212661319E-5</v>
      </c>
      <c r="D40" s="725">
        <v>3.5314666212661321E-2</v>
      </c>
      <c r="E40" s="733">
        <v>0.13368052594273649</v>
      </c>
      <c r="F40" s="724">
        <v>1</v>
      </c>
      <c r="G40" s="714"/>
      <c r="H40" s="714"/>
    </row>
    <row r="41" spans="1:9">
      <c r="A41" s="714"/>
      <c r="B41" s="714"/>
      <c r="C41" s="714"/>
      <c r="D41" s="714"/>
      <c r="E41" s="714"/>
      <c r="F41" s="714"/>
      <c r="G41" s="714"/>
      <c r="H41" s="714"/>
    </row>
    <row r="42" spans="1:9">
      <c r="A42" s="722" t="s">
        <v>588</v>
      </c>
      <c r="B42" s="723" t="s">
        <v>589</v>
      </c>
      <c r="C42" s="723" t="s">
        <v>590</v>
      </c>
      <c r="D42" s="723" t="s">
        <v>591</v>
      </c>
      <c r="E42" s="723" t="s">
        <v>592</v>
      </c>
      <c r="F42" s="723" t="s">
        <v>593</v>
      </c>
      <c r="G42" s="723" t="s">
        <v>594</v>
      </c>
      <c r="H42" s="723" t="s">
        <v>595</v>
      </c>
    </row>
    <row r="43" spans="1:9">
      <c r="A43" s="723" t="s">
        <v>596</v>
      </c>
      <c r="B43" s="724">
        <v>1</v>
      </c>
      <c r="C43" s="724">
        <v>1000</v>
      </c>
      <c r="D43" s="724">
        <v>1000000</v>
      </c>
      <c r="E43" s="724">
        <v>3600</v>
      </c>
      <c r="F43" s="724">
        <v>3600000</v>
      </c>
      <c r="G43" s="724">
        <v>1055.05585</v>
      </c>
      <c r="H43" s="724">
        <v>1055055850</v>
      </c>
    </row>
    <row r="44" spans="1:9">
      <c r="A44" s="723" t="s">
        <v>597</v>
      </c>
      <c r="B44" s="725">
        <v>1E-3</v>
      </c>
      <c r="C44" s="724">
        <v>1</v>
      </c>
      <c r="D44" s="724">
        <v>1000</v>
      </c>
      <c r="E44" s="732">
        <v>3.6</v>
      </c>
      <c r="F44" s="724">
        <v>3600</v>
      </c>
      <c r="G44" s="725">
        <v>1.05505585</v>
      </c>
      <c r="H44" s="724">
        <v>1055055.8500000001</v>
      </c>
    </row>
    <row r="45" spans="1:9">
      <c r="A45" s="723" t="s">
        <v>598</v>
      </c>
      <c r="B45" s="726">
        <v>9.9999999999999995E-7</v>
      </c>
      <c r="C45" s="725">
        <v>1E-3</v>
      </c>
      <c r="D45" s="724">
        <v>1</v>
      </c>
      <c r="E45" s="733">
        <v>3.5999999999999999E-3</v>
      </c>
      <c r="F45" s="732">
        <v>3.6</v>
      </c>
      <c r="G45" s="726">
        <v>1.0550558499999999E-3</v>
      </c>
      <c r="H45" s="724">
        <v>1055.05585</v>
      </c>
    </row>
    <row r="46" spans="1:9">
      <c r="A46" s="723" t="s">
        <v>599</v>
      </c>
      <c r="B46" s="726">
        <v>2.7777777777777778E-4</v>
      </c>
      <c r="C46" s="725">
        <v>0.27777777777777779</v>
      </c>
      <c r="D46" s="724">
        <v>277.77777777777777</v>
      </c>
      <c r="E46" s="724">
        <v>1</v>
      </c>
      <c r="F46" s="724">
        <v>1000</v>
      </c>
      <c r="G46" s="725">
        <v>0.29307106944444444</v>
      </c>
      <c r="H46" s="724">
        <v>293071.06944444444</v>
      </c>
    </row>
    <row r="47" spans="1:9">
      <c r="A47" s="723" t="s">
        <v>44</v>
      </c>
      <c r="B47" s="734">
        <v>2.7777777777777776E-7</v>
      </c>
      <c r="C47" s="726">
        <v>2.7777777777777778E-4</v>
      </c>
      <c r="D47" s="725">
        <v>0.27777777777777779</v>
      </c>
      <c r="E47" s="725">
        <v>1E-3</v>
      </c>
      <c r="F47" s="724">
        <v>1</v>
      </c>
      <c r="G47" s="726">
        <v>2.9307106944444444E-4</v>
      </c>
      <c r="H47" s="724">
        <v>293.07106944444445</v>
      </c>
    </row>
    <row r="48" spans="1:9">
      <c r="A48" s="723" t="s">
        <v>600</v>
      </c>
      <c r="B48" s="726">
        <v>9.4781712266701337E-4</v>
      </c>
      <c r="C48" s="725">
        <v>0.94781712266701335</v>
      </c>
      <c r="D48" s="735">
        <v>947.81712266701334</v>
      </c>
      <c r="E48" s="725">
        <v>3.4121416416012482</v>
      </c>
      <c r="F48" s="735">
        <v>3412.141641601248</v>
      </c>
      <c r="G48" s="724">
        <v>1</v>
      </c>
      <c r="H48" s="724">
        <v>1000000</v>
      </c>
    </row>
    <row r="49" spans="1:13">
      <c r="A49" s="723" t="s">
        <v>601</v>
      </c>
      <c r="B49" s="736">
        <v>9.4781712266701324E-10</v>
      </c>
      <c r="C49" s="726">
        <v>9.4781712266701337E-7</v>
      </c>
      <c r="D49" s="726">
        <v>9.4781712266701326E-4</v>
      </c>
      <c r="E49" s="737">
        <v>3.4121416416012478E-6</v>
      </c>
      <c r="F49" s="726">
        <v>3.4121416416012479E-3</v>
      </c>
      <c r="G49" s="726">
        <v>9.9999999999999995E-7</v>
      </c>
      <c r="H49" s="724">
        <v>1</v>
      </c>
    </row>
    <row r="50" spans="1:13">
      <c r="C50" s="738" t="s">
        <v>545</v>
      </c>
      <c r="D50" s="738" t="s">
        <v>546</v>
      </c>
    </row>
    <row r="51" spans="1:13">
      <c r="A51" s="739"/>
      <c r="B51" s="739"/>
      <c r="C51" s="739" t="s">
        <v>559</v>
      </c>
      <c r="D51" s="739" t="s">
        <v>559</v>
      </c>
      <c r="E51" s="739" t="s">
        <v>560</v>
      </c>
    </row>
    <row r="52" spans="1:13">
      <c r="A52" s="723" t="s">
        <v>602</v>
      </c>
      <c r="B52" s="740"/>
      <c r="C52" s="741">
        <v>910.32327505619207</v>
      </c>
      <c r="D52" s="741">
        <v>1010.4588353123728</v>
      </c>
      <c r="E52" s="741">
        <v>19.208837934783901</v>
      </c>
    </row>
    <row r="55" spans="1:13" ht="25.5">
      <c r="A55" s="742" t="s">
        <v>603</v>
      </c>
      <c r="B55" s="743" t="s">
        <v>604</v>
      </c>
      <c r="C55" s="744"/>
      <c r="D55" s="743" t="s">
        <v>605</v>
      </c>
      <c r="E55" s="744"/>
      <c r="F55" s="649"/>
      <c r="G55" s="649"/>
      <c r="H55" s="649"/>
      <c r="I55" s="649"/>
      <c r="J55" s="649"/>
    </row>
    <row r="56" spans="1:13">
      <c r="A56" s="745"/>
      <c r="B56" s="746" t="s">
        <v>606</v>
      </c>
      <c r="C56" s="747" t="s">
        <v>607</v>
      </c>
      <c r="D56" s="747" t="s">
        <v>606</v>
      </c>
      <c r="E56" s="747" t="s">
        <v>607</v>
      </c>
    </row>
    <row r="57" spans="1:13">
      <c r="A57" s="718" t="s">
        <v>519</v>
      </c>
      <c r="B57" s="728"/>
      <c r="C57" s="728"/>
      <c r="D57" s="728"/>
      <c r="E57" s="728"/>
    </row>
    <row r="58" spans="1:13">
      <c r="A58" s="718" t="s">
        <v>520</v>
      </c>
      <c r="B58" s="728"/>
      <c r="C58" s="728"/>
      <c r="D58" s="728"/>
      <c r="E58" s="728"/>
    </row>
    <row r="59" spans="1:13">
      <c r="A59" s="718" t="s">
        <v>608</v>
      </c>
      <c r="B59" s="748">
        <v>85.099746622744902</v>
      </c>
      <c r="C59" s="819">
        <f>B59*B20/$H$45</f>
        <v>2.0164749245915488</v>
      </c>
      <c r="D59" s="748">
        <v>85.099746622744902</v>
      </c>
      <c r="E59" s="819">
        <f>D59*B20/$H$45</f>
        <v>2.0164749245915488</v>
      </c>
      <c r="K59" s="231"/>
      <c r="M59" s="749"/>
    </row>
    <row r="60" spans="1:13">
      <c r="A60" s="718" t="s">
        <v>609</v>
      </c>
      <c r="B60" s="748">
        <v>12.3563538045118</v>
      </c>
      <c r="C60" s="819">
        <f t="shared" ref="C60" si="0">B60*B21/$H$45</f>
        <v>3.4900459854750974</v>
      </c>
      <c r="D60" s="748">
        <v>12.3563538045118</v>
      </c>
      <c r="E60" s="819">
        <f>D60*B21/$H$45</f>
        <v>3.4900459854750974</v>
      </c>
      <c r="K60" s="231"/>
      <c r="M60" s="749"/>
    </row>
    <row r="61" spans="1:13">
      <c r="A61" s="718" t="s">
        <v>610</v>
      </c>
      <c r="B61" s="748">
        <v>59139.16566094516</v>
      </c>
      <c r="C61" s="819">
        <f>B61/$H$45</f>
        <v>56.053113833684883</v>
      </c>
      <c r="D61" s="748">
        <v>59139.16566094516</v>
      </c>
      <c r="E61" s="819">
        <f>D61/Reference!$H$45</f>
        <v>56.053113833684883</v>
      </c>
    </row>
    <row r="62" spans="1:13">
      <c r="A62" s="718" t="s">
        <v>611</v>
      </c>
      <c r="B62" s="819">
        <f>(B59*B20+B60*B21+B61*B19)</f>
        <v>64948.852760258298</v>
      </c>
      <c r="C62" s="748"/>
      <c r="D62" s="819">
        <f>(D59*B20+D60*B21+D61*B19)</f>
        <v>64948.852760258298</v>
      </c>
      <c r="E62" s="750"/>
      <c r="K62" s="231"/>
      <c r="M62" s="749"/>
    </row>
    <row r="63" spans="1:13">
      <c r="A63" s="718" t="s">
        <v>612</v>
      </c>
      <c r="B63" s="728"/>
      <c r="C63" s="820">
        <f>SUM(C59:C62)</f>
        <v>61.559634743751531</v>
      </c>
      <c r="D63" s="751"/>
      <c r="E63" s="820">
        <f>SUM(E59:E62)</f>
        <v>61.559634743751531</v>
      </c>
    </row>
    <row r="66" spans="1:10">
      <c r="A66" s="689" t="s">
        <v>613</v>
      </c>
      <c r="B66" s="738"/>
      <c r="C66" s="738"/>
      <c r="D66" s="738"/>
      <c r="E66" s="738"/>
      <c r="F66" s="738"/>
      <c r="G66" s="738"/>
      <c r="H66" s="738"/>
      <c r="I66" s="738"/>
      <c r="J66" s="738"/>
    </row>
    <row r="67" spans="1:10" ht="77.25">
      <c r="A67" s="718"/>
      <c r="B67" s="752" t="s">
        <v>614</v>
      </c>
      <c r="C67" s="752" t="s">
        <v>615</v>
      </c>
      <c r="D67" s="752" t="s">
        <v>616</v>
      </c>
      <c r="E67" s="752" t="s">
        <v>617</v>
      </c>
      <c r="F67" s="752" t="s">
        <v>618</v>
      </c>
      <c r="G67" s="752" t="s">
        <v>619</v>
      </c>
      <c r="H67" s="752" t="s">
        <v>620</v>
      </c>
      <c r="I67" s="752" t="s">
        <v>621</v>
      </c>
      <c r="J67" s="752" t="s">
        <v>622</v>
      </c>
    </row>
    <row r="68" spans="1:10">
      <c r="A68" s="698" t="s">
        <v>623</v>
      </c>
      <c r="B68" s="753"/>
      <c r="C68" s="753"/>
      <c r="D68" s="753"/>
      <c r="E68" s="753"/>
      <c r="F68" s="753"/>
      <c r="G68" s="753"/>
      <c r="H68" s="753"/>
      <c r="I68" s="753"/>
      <c r="J68" s="753"/>
    </row>
    <row r="69" spans="1:10" ht="15" customHeight="1">
      <c r="A69" s="718" t="s">
        <v>624</v>
      </c>
      <c r="B69" s="754">
        <v>1E-3</v>
      </c>
      <c r="C69" s="754">
        <v>1E-3</v>
      </c>
      <c r="D69" s="754">
        <v>1E-3</v>
      </c>
      <c r="E69" s="754">
        <v>1E-3</v>
      </c>
      <c r="F69" s="754">
        <v>1E-3</v>
      </c>
      <c r="G69" s="753"/>
      <c r="H69" s="754">
        <v>1E-3</v>
      </c>
      <c r="I69" s="754">
        <v>1E-3</v>
      </c>
      <c r="J69" s="754">
        <v>1E-3</v>
      </c>
    </row>
    <row r="70" spans="1:10">
      <c r="A70" s="718" t="s">
        <v>625</v>
      </c>
      <c r="B70" s="754">
        <v>3.0000000000000001E-3</v>
      </c>
      <c r="C70" s="754">
        <v>3.0000000000000001E-3</v>
      </c>
      <c r="D70" s="754">
        <v>3.0000000000000001E-3</v>
      </c>
      <c r="E70" s="754">
        <v>3.0000000000000001E-3</v>
      </c>
      <c r="F70" s="754">
        <v>3.0000000000000001E-3</v>
      </c>
      <c r="G70" s="754">
        <v>3.0000000000000001E-3</v>
      </c>
      <c r="H70" s="754">
        <v>3.0000000000000001E-3</v>
      </c>
      <c r="I70" s="754">
        <v>3.0000000000000001E-3</v>
      </c>
      <c r="J70" s="754">
        <v>3.0000000000000001E-3</v>
      </c>
    </row>
    <row r="71" spans="1:10">
      <c r="A71" s="698" t="s">
        <v>626</v>
      </c>
      <c r="B71" s="753"/>
      <c r="C71" s="753"/>
      <c r="D71" s="753"/>
      <c r="E71" s="753"/>
      <c r="F71" s="753"/>
      <c r="G71" s="753"/>
      <c r="H71" s="753"/>
      <c r="I71" s="753"/>
      <c r="J71" s="753"/>
    </row>
    <row r="72" spans="1:10">
      <c r="A72" s="718" t="s">
        <v>627</v>
      </c>
      <c r="B72" s="753">
        <v>5</v>
      </c>
      <c r="C72" s="755">
        <v>0</v>
      </c>
      <c r="D72" s="753">
        <v>5</v>
      </c>
      <c r="E72" s="753">
        <v>0.1</v>
      </c>
      <c r="F72" s="753">
        <v>3</v>
      </c>
      <c r="G72" s="753"/>
      <c r="H72" s="753">
        <v>3</v>
      </c>
      <c r="I72" s="753">
        <v>0.1</v>
      </c>
      <c r="J72" s="753">
        <v>3</v>
      </c>
    </row>
    <row r="73" spans="1:10">
      <c r="A73" s="718" t="s">
        <v>628</v>
      </c>
      <c r="B73" s="753">
        <v>5</v>
      </c>
      <c r="C73" s="755">
        <v>10.416666666666666</v>
      </c>
      <c r="D73" s="753">
        <v>5</v>
      </c>
      <c r="E73" s="753">
        <v>0.1</v>
      </c>
      <c r="F73" s="753">
        <v>3</v>
      </c>
      <c r="G73" s="753"/>
      <c r="H73" s="753"/>
      <c r="I73" s="753"/>
      <c r="J73" s="753"/>
    </row>
    <row r="74" spans="1:10">
      <c r="A74" s="718" t="s">
        <v>629</v>
      </c>
      <c r="B74" s="753">
        <v>5</v>
      </c>
      <c r="C74" s="755">
        <v>12.291666666666666</v>
      </c>
      <c r="D74" s="753">
        <v>5</v>
      </c>
      <c r="E74" s="753">
        <v>0.1</v>
      </c>
      <c r="F74" s="753">
        <v>3</v>
      </c>
      <c r="G74" s="753"/>
      <c r="H74" s="753"/>
      <c r="I74" s="753"/>
      <c r="J74" s="753"/>
    </row>
    <row r="75" spans="1:10">
      <c r="A75" s="718" t="s">
        <v>630</v>
      </c>
      <c r="B75" s="753">
        <v>5</v>
      </c>
      <c r="C75" s="755">
        <v>0</v>
      </c>
      <c r="D75" s="753">
        <v>5</v>
      </c>
      <c r="E75" s="753">
        <v>0.1</v>
      </c>
      <c r="F75" s="753">
        <v>3</v>
      </c>
      <c r="G75" s="753">
        <v>3</v>
      </c>
      <c r="H75" s="753"/>
      <c r="I75" s="753"/>
      <c r="J75" s="753"/>
    </row>
    <row r="76" spans="1:10">
      <c r="A76" s="698" t="s">
        <v>631</v>
      </c>
      <c r="B76" s="753"/>
      <c r="C76" s="753"/>
      <c r="D76" s="753"/>
      <c r="E76" s="753"/>
      <c r="F76" s="753"/>
      <c r="G76" s="753"/>
      <c r="H76" s="753"/>
      <c r="I76" s="753"/>
      <c r="J76" s="753"/>
    </row>
    <row r="77" spans="1:10">
      <c r="A77" s="718" t="s">
        <v>605</v>
      </c>
      <c r="B77" s="754">
        <v>0.8</v>
      </c>
      <c r="C77" s="754">
        <v>0.8</v>
      </c>
      <c r="D77" s="754">
        <v>0.8</v>
      </c>
      <c r="E77" s="754">
        <v>0.8</v>
      </c>
      <c r="F77" s="754">
        <v>0.8</v>
      </c>
      <c r="G77" s="753"/>
      <c r="H77" s="754">
        <v>0.8</v>
      </c>
      <c r="I77" s="754">
        <v>0.8</v>
      </c>
      <c r="J77" s="754">
        <v>0.8</v>
      </c>
    </row>
    <row r="78" spans="1:10">
      <c r="A78" s="756" t="s">
        <v>625</v>
      </c>
      <c r="B78" s="757">
        <v>0.8</v>
      </c>
      <c r="C78" s="757">
        <v>0.8</v>
      </c>
      <c r="D78" s="757">
        <v>0.8</v>
      </c>
      <c r="E78" s="757">
        <v>0.8</v>
      </c>
      <c r="F78" s="757">
        <v>0.8</v>
      </c>
      <c r="G78" s="757">
        <v>0.8</v>
      </c>
      <c r="H78" s="758"/>
      <c r="I78" s="758"/>
      <c r="J78" s="759"/>
    </row>
    <row r="80" spans="1:10">
      <c r="A80" s="760" t="s">
        <v>190</v>
      </c>
    </row>
    <row r="87" spans="1:4" ht="15" customHeight="1"/>
    <row r="88" spans="1:4" ht="15" customHeight="1"/>
    <row r="90" spans="1:4" s="761" customFormat="1">
      <c r="A90" s="689" t="s">
        <v>632</v>
      </c>
      <c r="B90" s="689"/>
      <c r="C90" s="689"/>
      <c r="D90" s="689"/>
    </row>
    <row r="92" spans="1:4" ht="18.75" thickBot="1">
      <c r="A92" s="761" t="s">
        <v>633</v>
      </c>
    </row>
    <row r="93" spans="1:4" ht="48" customHeight="1" thickBot="1">
      <c r="A93" s="762" t="s">
        <v>634</v>
      </c>
      <c r="B93" s="763" t="s">
        <v>635</v>
      </c>
      <c r="C93" s="764" t="s">
        <v>636</v>
      </c>
      <c r="D93" s="765" t="s">
        <v>637</v>
      </c>
    </row>
    <row r="94" spans="1:4">
      <c r="A94" s="766" t="s">
        <v>638</v>
      </c>
      <c r="B94" s="767">
        <v>680</v>
      </c>
      <c r="C94" s="768">
        <f>VLOOKUP('Biogas-to-RNG'!C19:D19, Reference!A113:E162, 2, FALSE)</f>
        <v>11.41</v>
      </c>
      <c r="D94" s="769">
        <v>0.24</v>
      </c>
    </row>
    <row r="95" spans="1:4">
      <c r="A95" s="770" t="s">
        <v>639</v>
      </c>
      <c r="B95" s="771">
        <v>684</v>
      </c>
      <c r="C95" s="772">
        <v>5.56</v>
      </c>
      <c r="D95" s="773">
        <v>0.24</v>
      </c>
    </row>
    <row r="96" spans="1:4">
      <c r="A96" s="770" t="s">
        <v>640</v>
      </c>
      <c r="B96" s="771">
        <v>407</v>
      </c>
      <c r="C96" s="768">
        <f>VLOOKUP('Biogas-to-RNG'!C19:D19, Reference!A113:E162, 3, FALSE)</f>
        <v>8.44</v>
      </c>
      <c r="D96" s="773">
        <v>0.17</v>
      </c>
    </row>
    <row r="97" spans="1:5">
      <c r="A97" s="770" t="s">
        <v>641</v>
      </c>
      <c r="B97" s="771">
        <v>874</v>
      </c>
      <c r="C97" s="772">
        <v>6.04</v>
      </c>
      <c r="D97" s="773">
        <v>0.17</v>
      </c>
    </row>
    <row r="98" spans="1:5">
      <c r="A98" s="770" t="s">
        <v>642</v>
      </c>
      <c r="B98" s="771">
        <v>118</v>
      </c>
      <c r="C98" s="774">
        <v>7.7</v>
      </c>
      <c r="D98" s="773">
        <v>0.17</v>
      </c>
    </row>
    <row r="99" spans="1:5">
      <c r="A99" s="770" t="s">
        <v>643</v>
      </c>
      <c r="B99" s="771">
        <v>351.5</v>
      </c>
      <c r="C99" s="768">
        <f>VLOOKUP('Biogas-to-RNG'!C19:D19, Reference!A113:E162, 4, FALSE)</f>
        <v>13.96</v>
      </c>
      <c r="D99" s="773">
        <v>0.17</v>
      </c>
    </row>
    <row r="100" spans="1:5">
      <c r="A100" s="770" t="s">
        <v>644</v>
      </c>
      <c r="B100" s="771">
        <v>582.5</v>
      </c>
      <c r="C100" s="768">
        <f>VLOOKUP('Biogas-to-RNG'!C19:D19, Reference!A113:E162, 5, FALSE)</f>
        <v>8.89</v>
      </c>
      <c r="D100" s="773">
        <v>0.17</v>
      </c>
    </row>
    <row r="101" spans="1:5">
      <c r="A101" s="770" t="s">
        <v>645</v>
      </c>
      <c r="B101" s="771">
        <v>12.5</v>
      </c>
      <c r="C101" s="772">
        <v>8.89</v>
      </c>
      <c r="D101" s="773">
        <v>0.48</v>
      </c>
    </row>
    <row r="102" spans="1:5">
      <c r="A102" s="770" t="s">
        <v>646</v>
      </c>
      <c r="B102" s="771">
        <v>70</v>
      </c>
      <c r="C102" s="772">
        <v>5.36</v>
      </c>
      <c r="D102" s="773">
        <v>0.48</v>
      </c>
    </row>
    <row r="103" spans="1:5" ht="15.75" thickBot="1">
      <c r="A103" s="775" t="s">
        <v>647</v>
      </c>
      <c r="B103" s="776">
        <v>198</v>
      </c>
      <c r="C103" s="777">
        <v>2.71</v>
      </c>
      <c r="D103" s="778">
        <v>0.35</v>
      </c>
    </row>
    <row r="104" spans="1:5">
      <c r="A104" s="760" t="s">
        <v>190</v>
      </c>
    </row>
    <row r="105" spans="1:5" ht="15.75" thickBot="1">
      <c r="A105" s="761" t="s">
        <v>648</v>
      </c>
      <c r="B105" s="779"/>
    </row>
    <row r="106" spans="1:5" ht="31.5" customHeight="1">
      <c r="A106" s="780" t="s">
        <v>649</v>
      </c>
      <c r="B106" s="781" t="s">
        <v>650</v>
      </c>
      <c r="C106" s="782" t="s">
        <v>651</v>
      </c>
      <c r="D106" s="782" t="s">
        <v>652</v>
      </c>
    </row>
    <row r="107" spans="1:5" ht="25.5">
      <c r="A107" s="1106" t="s">
        <v>294</v>
      </c>
      <c r="B107" s="653" t="s">
        <v>653</v>
      </c>
      <c r="C107" s="773">
        <v>0.95</v>
      </c>
      <c r="D107" s="783">
        <f>1-C107</f>
        <v>5.0000000000000044E-2</v>
      </c>
    </row>
    <row r="108" spans="1:5" ht="25.5">
      <c r="A108" s="1107"/>
      <c r="B108" s="653" t="s">
        <v>654</v>
      </c>
      <c r="C108" s="773" t="s">
        <v>655</v>
      </c>
      <c r="D108" s="783" t="s">
        <v>656</v>
      </c>
    </row>
    <row r="109" spans="1:5" ht="15.75" thickBot="1">
      <c r="A109" s="775" t="s">
        <v>657</v>
      </c>
      <c r="B109" s="784" t="s">
        <v>658</v>
      </c>
      <c r="C109" s="778">
        <v>0.98</v>
      </c>
      <c r="D109" s="785">
        <f>1-C109</f>
        <v>2.0000000000000018E-2</v>
      </c>
    </row>
    <row r="111" spans="1:5" ht="15.75" thickBot="1">
      <c r="A111" s="761" t="s">
        <v>659</v>
      </c>
      <c r="B111" s="786"/>
      <c r="C111" s="786"/>
      <c r="D111" s="786"/>
      <c r="E111" s="714"/>
    </row>
    <row r="112" spans="1:5" ht="25.5">
      <c r="A112" s="787" t="s">
        <v>660</v>
      </c>
      <c r="B112" s="788" t="s">
        <v>661</v>
      </c>
      <c r="C112" s="788" t="s">
        <v>662</v>
      </c>
      <c r="D112" s="788" t="s">
        <v>663</v>
      </c>
      <c r="E112" s="789" t="s">
        <v>644</v>
      </c>
    </row>
    <row r="113" spans="1:5">
      <c r="A113" s="790" t="s">
        <v>664</v>
      </c>
      <c r="B113" s="791">
        <v>8.6199999999999992</v>
      </c>
      <c r="C113" s="791">
        <v>8.44</v>
      </c>
      <c r="D113" s="791">
        <v>19.670000000000002</v>
      </c>
      <c r="E113" s="792">
        <v>7.82</v>
      </c>
    </row>
    <row r="114" spans="1:5">
      <c r="A114" s="790" t="s">
        <v>665</v>
      </c>
      <c r="B114" s="791">
        <v>8.7100000000000009</v>
      </c>
      <c r="C114" s="791">
        <v>8.44</v>
      </c>
      <c r="D114" s="791">
        <v>30.94</v>
      </c>
      <c r="E114" s="792">
        <v>8.89</v>
      </c>
    </row>
    <row r="115" spans="1:5">
      <c r="A115" s="790" t="s">
        <v>666</v>
      </c>
      <c r="B115" s="791">
        <v>11.64</v>
      </c>
      <c r="C115" s="791">
        <v>8.44</v>
      </c>
      <c r="D115" s="791">
        <v>22.32</v>
      </c>
      <c r="E115" s="792">
        <v>8.89</v>
      </c>
    </row>
    <row r="116" spans="1:5">
      <c r="A116" s="790" t="s">
        <v>667</v>
      </c>
      <c r="B116" s="791">
        <v>8.44</v>
      </c>
      <c r="C116" s="791">
        <v>8.44</v>
      </c>
      <c r="D116" s="791">
        <v>18.38</v>
      </c>
      <c r="E116" s="792">
        <v>7.82</v>
      </c>
    </row>
    <row r="117" spans="1:5">
      <c r="A117" s="790" t="s">
        <v>349</v>
      </c>
      <c r="B117" s="791">
        <v>11.41</v>
      </c>
      <c r="C117" s="791">
        <v>8.44</v>
      </c>
      <c r="D117" s="791">
        <v>13.96</v>
      </c>
      <c r="E117" s="792">
        <v>8.89</v>
      </c>
    </row>
    <row r="118" spans="1:5">
      <c r="A118" s="790" t="s">
        <v>668</v>
      </c>
      <c r="B118" s="791">
        <v>11.64</v>
      </c>
      <c r="C118" s="791">
        <v>8.44</v>
      </c>
      <c r="D118" s="791">
        <v>12.28</v>
      </c>
      <c r="E118" s="792">
        <v>8.89</v>
      </c>
    </row>
    <row r="119" spans="1:5">
      <c r="A119" s="790" t="s">
        <v>669</v>
      </c>
      <c r="B119" s="791">
        <v>10.41</v>
      </c>
      <c r="C119" s="791">
        <v>8.44</v>
      </c>
      <c r="D119" s="791">
        <v>23.35</v>
      </c>
      <c r="E119" s="792">
        <v>7.87</v>
      </c>
    </row>
    <row r="120" spans="1:5">
      <c r="A120" s="790" t="s">
        <v>670</v>
      </c>
      <c r="B120" s="791">
        <v>10.18</v>
      </c>
      <c r="C120" s="791">
        <v>8.44</v>
      </c>
      <c r="D120" s="791">
        <v>16.82</v>
      </c>
      <c r="E120" s="792">
        <v>7.87</v>
      </c>
    </row>
    <row r="121" spans="1:5">
      <c r="A121" s="790" t="s">
        <v>671</v>
      </c>
      <c r="B121" s="791">
        <v>10.36</v>
      </c>
      <c r="C121" s="791">
        <v>8.44</v>
      </c>
      <c r="D121" s="791">
        <v>21.99</v>
      </c>
      <c r="E121" s="792">
        <v>7.82</v>
      </c>
    </row>
    <row r="122" spans="1:5">
      <c r="A122" s="790" t="s">
        <v>672</v>
      </c>
      <c r="B122" s="791">
        <v>10.4</v>
      </c>
      <c r="C122" s="791">
        <v>8.44</v>
      </c>
      <c r="D122" s="791">
        <v>19.170000000000002</v>
      </c>
      <c r="E122" s="792">
        <v>7.82</v>
      </c>
    </row>
    <row r="123" spans="1:5">
      <c r="A123" s="790" t="s">
        <v>673</v>
      </c>
      <c r="B123" s="791">
        <v>8.6999999999999993</v>
      </c>
      <c r="C123" s="791">
        <v>8.44</v>
      </c>
      <c r="D123" s="791">
        <v>20.25</v>
      </c>
      <c r="E123" s="792">
        <v>8.89</v>
      </c>
    </row>
    <row r="124" spans="1:5">
      <c r="A124" s="790" t="s">
        <v>674</v>
      </c>
      <c r="B124" s="791">
        <v>11.45</v>
      </c>
      <c r="C124" s="791">
        <v>8.44</v>
      </c>
      <c r="D124" s="791">
        <v>13.75</v>
      </c>
      <c r="E124" s="792">
        <v>8.89</v>
      </c>
    </row>
    <row r="125" spans="1:5">
      <c r="A125" s="790" t="s">
        <v>675</v>
      </c>
      <c r="B125" s="791">
        <v>10.3</v>
      </c>
      <c r="C125" s="791">
        <v>8.44</v>
      </c>
      <c r="D125" s="791">
        <v>11.42</v>
      </c>
      <c r="E125" s="792">
        <v>7.47</v>
      </c>
    </row>
    <row r="126" spans="1:5">
      <c r="A126" s="790" t="s">
        <v>676</v>
      </c>
      <c r="B126" s="791">
        <v>10.85</v>
      </c>
      <c r="C126" s="791">
        <v>8.44</v>
      </c>
      <c r="D126" s="791">
        <v>11.72</v>
      </c>
      <c r="E126" s="792">
        <v>7.47</v>
      </c>
    </row>
    <row r="127" spans="1:5">
      <c r="A127" s="790" t="s">
        <v>677</v>
      </c>
      <c r="B127" s="791">
        <v>10.96</v>
      </c>
      <c r="C127" s="791">
        <v>8.44</v>
      </c>
      <c r="D127" s="791">
        <v>9.5399999999999991</v>
      </c>
      <c r="E127" s="792">
        <v>7.47</v>
      </c>
    </row>
    <row r="128" spans="1:5">
      <c r="A128" s="790" t="s">
        <v>678</v>
      </c>
      <c r="B128" s="791">
        <v>10.94</v>
      </c>
      <c r="C128" s="791">
        <v>8.44</v>
      </c>
      <c r="D128" s="791">
        <v>8.99</v>
      </c>
      <c r="E128" s="792">
        <v>7.47</v>
      </c>
    </row>
    <row r="129" spans="1:5">
      <c r="A129" s="790" t="s">
        <v>679</v>
      </c>
      <c r="B129" s="791">
        <v>9.1999999999999993</v>
      </c>
      <c r="C129" s="791">
        <v>8.44</v>
      </c>
      <c r="D129" s="791">
        <v>14.69</v>
      </c>
      <c r="E129" s="792">
        <v>7.82</v>
      </c>
    </row>
    <row r="130" spans="1:5">
      <c r="A130" s="790" t="s">
        <v>680</v>
      </c>
      <c r="B130" s="791">
        <v>8.41</v>
      </c>
      <c r="C130" s="791">
        <v>8.44</v>
      </c>
      <c r="D130" s="791">
        <v>21.36</v>
      </c>
      <c r="E130" s="792">
        <v>7.82</v>
      </c>
    </row>
    <row r="131" spans="1:5">
      <c r="A131" s="790" t="s">
        <v>681</v>
      </c>
      <c r="B131" s="791">
        <v>10.01</v>
      </c>
      <c r="C131" s="791">
        <v>8.44</v>
      </c>
      <c r="D131" s="791">
        <v>15.12</v>
      </c>
      <c r="E131" s="792">
        <v>7.87</v>
      </c>
    </row>
    <row r="132" spans="1:5">
      <c r="A132" s="790" t="s">
        <v>682</v>
      </c>
      <c r="B132" s="791">
        <v>10.199999999999999</v>
      </c>
      <c r="C132" s="791">
        <v>8.44</v>
      </c>
      <c r="D132" s="791">
        <v>17.18</v>
      </c>
      <c r="E132" s="792">
        <v>7.87</v>
      </c>
    </row>
    <row r="133" spans="1:5">
      <c r="A133" s="790" t="s">
        <v>683</v>
      </c>
      <c r="B133" s="791">
        <v>9.91</v>
      </c>
      <c r="C133" s="791">
        <v>8.44</v>
      </c>
      <c r="D133" s="791">
        <v>20.89</v>
      </c>
      <c r="E133" s="792">
        <v>7.87</v>
      </c>
    </row>
    <row r="134" spans="1:5">
      <c r="A134" s="790" t="s">
        <v>684</v>
      </c>
      <c r="B134" s="791">
        <v>11.56</v>
      </c>
      <c r="C134" s="791">
        <v>8.44</v>
      </c>
      <c r="D134" s="791">
        <v>12.19</v>
      </c>
      <c r="E134" s="792">
        <v>7.47</v>
      </c>
    </row>
    <row r="135" spans="1:5">
      <c r="A135" s="790" t="s">
        <v>685</v>
      </c>
      <c r="B135" s="791">
        <v>10.29</v>
      </c>
      <c r="C135" s="791">
        <v>8.44</v>
      </c>
      <c r="D135" s="791">
        <v>11.47</v>
      </c>
      <c r="E135" s="792">
        <v>7.47</v>
      </c>
    </row>
    <row r="136" spans="1:5">
      <c r="A136" s="790" t="s">
        <v>686</v>
      </c>
      <c r="B136" s="791">
        <v>8.9600000000000009</v>
      </c>
      <c r="C136" s="791">
        <v>8.44</v>
      </c>
      <c r="D136" s="791">
        <v>19.309999999999999</v>
      </c>
      <c r="E136" s="792">
        <v>7.82</v>
      </c>
    </row>
    <row r="137" spans="1:5">
      <c r="A137" s="790" t="s">
        <v>687</v>
      </c>
      <c r="B137" s="791">
        <v>8.92</v>
      </c>
      <c r="C137" s="791">
        <v>8.44</v>
      </c>
      <c r="D137" s="791">
        <v>14.84</v>
      </c>
      <c r="E137" s="792">
        <v>7.47</v>
      </c>
    </row>
    <row r="138" spans="1:5">
      <c r="A138" s="790" t="s">
        <v>688</v>
      </c>
      <c r="B138" s="791">
        <v>10.85</v>
      </c>
      <c r="C138" s="791">
        <v>8.44</v>
      </c>
      <c r="D138" s="791">
        <v>18.5</v>
      </c>
      <c r="E138" s="792">
        <v>7.82</v>
      </c>
    </row>
    <row r="139" spans="1:5">
      <c r="A139" s="790" t="s">
        <v>689</v>
      </c>
      <c r="B139" s="791">
        <v>10.79</v>
      </c>
      <c r="C139" s="791">
        <v>8.44</v>
      </c>
      <c r="D139" s="791">
        <v>11.97</v>
      </c>
      <c r="E139" s="792">
        <v>8.89</v>
      </c>
    </row>
    <row r="140" spans="1:5">
      <c r="A140" s="790" t="s">
        <v>690</v>
      </c>
      <c r="B140" s="791">
        <v>11.33</v>
      </c>
      <c r="C140" s="791">
        <v>8.44</v>
      </c>
      <c r="D140" s="791">
        <v>14.77</v>
      </c>
      <c r="E140" s="792">
        <v>7.47</v>
      </c>
    </row>
    <row r="141" spans="1:5">
      <c r="A141" s="790" t="s">
        <v>691</v>
      </c>
      <c r="B141" s="791">
        <v>10.34</v>
      </c>
      <c r="C141" s="791">
        <v>8.44</v>
      </c>
      <c r="D141" s="791">
        <v>23.83</v>
      </c>
      <c r="E141" s="792">
        <v>8.92</v>
      </c>
    </row>
    <row r="142" spans="1:5">
      <c r="A142" s="790" t="s">
        <v>692</v>
      </c>
      <c r="B142" s="791">
        <v>10.01</v>
      </c>
      <c r="C142" s="791">
        <v>8.44</v>
      </c>
      <c r="D142" s="791">
        <v>16.559999999999999</v>
      </c>
      <c r="E142" s="792">
        <v>7.87</v>
      </c>
    </row>
    <row r="143" spans="1:5">
      <c r="A143" s="790" t="s">
        <v>693</v>
      </c>
      <c r="B143" s="791">
        <v>11.85</v>
      </c>
      <c r="C143" s="791">
        <v>8.44</v>
      </c>
      <c r="D143" s="791">
        <v>14.27</v>
      </c>
      <c r="E143" s="792">
        <v>7.87</v>
      </c>
    </row>
    <row r="144" spans="1:5">
      <c r="A144" s="790" t="s">
        <v>694</v>
      </c>
      <c r="B144" s="791">
        <v>10.93</v>
      </c>
      <c r="C144" s="791">
        <v>8.44</v>
      </c>
      <c r="D144" s="791">
        <v>16.72</v>
      </c>
      <c r="E144" s="792">
        <v>8.89</v>
      </c>
    </row>
    <row r="145" spans="1:5">
      <c r="A145" s="790" t="s">
        <v>695</v>
      </c>
      <c r="B145" s="791">
        <v>10.79</v>
      </c>
      <c r="C145" s="791">
        <v>8.44</v>
      </c>
      <c r="D145" s="791">
        <v>19.93</v>
      </c>
      <c r="E145" s="792">
        <v>7.87</v>
      </c>
    </row>
    <row r="146" spans="1:5">
      <c r="A146" s="790" t="s">
        <v>696</v>
      </c>
      <c r="B146" s="791">
        <v>10.220000000000001</v>
      </c>
      <c r="C146" s="791">
        <v>8.44</v>
      </c>
      <c r="D146" s="791">
        <v>14.61</v>
      </c>
      <c r="E146" s="792">
        <v>7.82</v>
      </c>
    </row>
    <row r="147" spans="1:5">
      <c r="A147" s="790" t="s">
        <v>697</v>
      </c>
      <c r="B147" s="791">
        <v>10.39</v>
      </c>
      <c r="C147" s="791">
        <v>8.44</v>
      </c>
      <c r="D147" s="791">
        <v>13.24</v>
      </c>
      <c r="E147" s="792">
        <v>7.47</v>
      </c>
    </row>
    <row r="148" spans="1:5">
      <c r="A148" s="790" t="s">
        <v>698</v>
      </c>
      <c r="B148" s="791">
        <v>9.76</v>
      </c>
      <c r="C148" s="791">
        <v>8.44</v>
      </c>
      <c r="D148" s="791">
        <v>12.67</v>
      </c>
      <c r="E148" s="792">
        <v>7.47</v>
      </c>
    </row>
    <row r="149" spans="1:5">
      <c r="A149" s="790" t="s">
        <v>699</v>
      </c>
      <c r="B149" s="791">
        <v>10.57</v>
      </c>
      <c r="C149" s="791">
        <v>8.44</v>
      </c>
      <c r="D149" s="791">
        <v>15.75</v>
      </c>
      <c r="E149" s="792">
        <v>7.82</v>
      </c>
    </row>
    <row r="150" spans="1:5">
      <c r="A150" s="790" t="s">
        <v>700</v>
      </c>
      <c r="B150" s="791">
        <v>10.32</v>
      </c>
      <c r="C150" s="791">
        <v>8.44</v>
      </c>
      <c r="D150" s="791">
        <v>16.190000000000001</v>
      </c>
      <c r="E150" s="792">
        <v>8.89</v>
      </c>
    </row>
    <row r="151" spans="1:5">
      <c r="A151" s="790" t="s">
        <v>701</v>
      </c>
      <c r="B151" s="791">
        <v>9.93</v>
      </c>
      <c r="C151" s="791">
        <v>8.44</v>
      </c>
      <c r="D151" s="791">
        <v>20.89</v>
      </c>
      <c r="E151" s="792">
        <v>7.87</v>
      </c>
    </row>
    <row r="152" spans="1:5">
      <c r="A152" s="790" t="s">
        <v>702</v>
      </c>
      <c r="B152" s="791">
        <v>9.85</v>
      </c>
      <c r="C152" s="791">
        <v>8.44</v>
      </c>
      <c r="D152" s="791">
        <v>19.71</v>
      </c>
      <c r="E152" s="792">
        <v>7.87</v>
      </c>
    </row>
    <row r="153" spans="1:5">
      <c r="A153" s="790" t="s">
        <v>703</v>
      </c>
      <c r="B153" s="791">
        <v>10.86</v>
      </c>
      <c r="C153" s="791">
        <v>8.44</v>
      </c>
      <c r="D153" s="791">
        <v>12.77</v>
      </c>
      <c r="E153" s="792">
        <v>7.82</v>
      </c>
    </row>
    <row r="154" spans="1:5">
      <c r="A154" s="790" t="s">
        <v>704</v>
      </c>
      <c r="B154" s="791">
        <v>9.49</v>
      </c>
      <c r="C154" s="791">
        <v>8.44</v>
      </c>
      <c r="D154" s="791">
        <v>16.25</v>
      </c>
      <c r="E154" s="792">
        <v>7.47</v>
      </c>
    </row>
    <row r="155" spans="1:5">
      <c r="A155" s="790" t="s">
        <v>705</v>
      </c>
      <c r="B155" s="791">
        <v>11.06</v>
      </c>
      <c r="C155" s="791">
        <v>8.44</v>
      </c>
      <c r="D155" s="791">
        <v>11.15</v>
      </c>
      <c r="E155" s="792">
        <v>7.82</v>
      </c>
    </row>
    <row r="156" spans="1:5">
      <c r="A156" s="790" t="s">
        <v>706</v>
      </c>
      <c r="B156" s="791">
        <v>10.95</v>
      </c>
      <c r="C156" s="791">
        <v>8.44</v>
      </c>
      <c r="D156" s="791">
        <v>16.649999999999999</v>
      </c>
      <c r="E156" s="792">
        <v>7.82</v>
      </c>
    </row>
    <row r="157" spans="1:5">
      <c r="A157" s="790" t="s">
        <v>707</v>
      </c>
      <c r="B157" s="791">
        <v>10.23</v>
      </c>
      <c r="C157" s="791">
        <v>8.44</v>
      </c>
      <c r="D157" s="791">
        <v>16.079999999999998</v>
      </c>
      <c r="E157" s="792">
        <v>8.89</v>
      </c>
    </row>
    <row r="158" spans="1:5">
      <c r="A158" s="790" t="s">
        <v>708</v>
      </c>
      <c r="B158" s="791">
        <v>10.06</v>
      </c>
      <c r="C158" s="791">
        <v>8.44</v>
      </c>
      <c r="D158" s="791">
        <v>17.93</v>
      </c>
      <c r="E158" s="792">
        <v>7.87</v>
      </c>
    </row>
    <row r="159" spans="1:5">
      <c r="A159" s="790" t="s">
        <v>709</v>
      </c>
      <c r="B159" s="791">
        <v>11.58</v>
      </c>
      <c r="C159" s="791">
        <v>8.44</v>
      </c>
      <c r="D159" s="791">
        <v>12.06</v>
      </c>
      <c r="E159" s="792">
        <v>7.82</v>
      </c>
    </row>
    <row r="160" spans="1:5">
      <c r="A160" s="790" t="s">
        <v>710</v>
      </c>
      <c r="B160" s="791">
        <v>9.18</v>
      </c>
      <c r="C160" s="791">
        <v>8.44</v>
      </c>
      <c r="D160" s="791">
        <v>19.13</v>
      </c>
      <c r="E160" s="792">
        <v>8.89</v>
      </c>
    </row>
    <row r="161" spans="1:21">
      <c r="A161" s="790" t="s">
        <v>711</v>
      </c>
      <c r="B161" s="791">
        <v>10.87</v>
      </c>
      <c r="C161" s="791">
        <v>8.44</v>
      </c>
      <c r="D161" s="791">
        <v>17.03</v>
      </c>
      <c r="E161" s="792">
        <v>7.47</v>
      </c>
    </row>
    <row r="162" spans="1:21" ht="15.75" thickBot="1">
      <c r="A162" s="793" t="s">
        <v>712</v>
      </c>
      <c r="B162" s="794">
        <v>10.69</v>
      </c>
      <c r="C162" s="794">
        <v>8.44</v>
      </c>
      <c r="D162" s="794">
        <v>18.18</v>
      </c>
      <c r="E162" s="795">
        <v>8.89</v>
      </c>
    </row>
    <row r="164" spans="1:21" ht="15.75" thickBot="1">
      <c r="A164" s="761" t="s">
        <v>713</v>
      </c>
      <c r="B164" s="714"/>
      <c r="C164" s="714"/>
      <c r="D164" s="714"/>
      <c r="E164" s="714"/>
      <c r="F164" s="714"/>
      <c r="G164" s="714"/>
      <c r="H164" s="714"/>
      <c r="I164" s="714"/>
      <c r="J164" s="714"/>
      <c r="K164" s="714"/>
      <c r="L164" s="714"/>
      <c r="M164" s="714"/>
      <c r="N164" s="714"/>
      <c r="O164" s="714"/>
      <c r="P164" s="714"/>
      <c r="Q164" s="714"/>
      <c r="R164" s="714"/>
      <c r="S164" s="714"/>
      <c r="T164" s="714"/>
      <c r="U164" s="714"/>
    </row>
    <row r="165" spans="1:21">
      <c r="A165" s="1108" t="s">
        <v>714</v>
      </c>
      <c r="B165" s="1109"/>
      <c r="C165" s="1109"/>
      <c r="D165" s="1109"/>
      <c r="E165" s="1109"/>
      <c r="F165" s="1109"/>
      <c r="G165" s="1109"/>
      <c r="H165" s="1109"/>
      <c r="I165" s="1109"/>
      <c r="J165" s="1109"/>
      <c r="K165" s="1109"/>
      <c r="L165" s="1109"/>
      <c r="M165" s="1109"/>
      <c r="N165" s="1109"/>
      <c r="O165" s="1109"/>
      <c r="P165" s="1109"/>
      <c r="Q165" s="1109"/>
      <c r="R165" s="1109"/>
      <c r="S165" s="1109"/>
      <c r="T165" s="1109"/>
      <c r="U165" s="1110"/>
    </row>
    <row r="166" spans="1:21">
      <c r="A166" s="796"/>
      <c r="B166" s="1111" t="s">
        <v>715</v>
      </c>
      <c r="C166" s="1111"/>
      <c r="D166" s="1111"/>
      <c r="E166" s="1111"/>
      <c r="F166" s="1111"/>
      <c r="G166" s="1111"/>
      <c r="H166" s="1111"/>
      <c r="I166" s="1111"/>
      <c r="J166" s="1111"/>
      <c r="K166" s="1111"/>
      <c r="L166" s="1111"/>
      <c r="M166" s="1111"/>
      <c r="N166" s="1111"/>
      <c r="O166" s="1111"/>
      <c r="P166" s="1111"/>
      <c r="Q166" s="1111"/>
      <c r="R166" s="1111"/>
      <c r="S166" s="1111"/>
      <c r="T166" s="1111"/>
      <c r="U166" s="1112"/>
    </row>
    <row r="167" spans="1:21">
      <c r="A167" s="796"/>
      <c r="B167" s="1111" t="s">
        <v>716</v>
      </c>
      <c r="C167" s="1111"/>
      <c r="D167" s="1111"/>
      <c r="E167" s="1111"/>
      <c r="F167" s="1111"/>
      <c r="G167" s="1111" t="s">
        <v>717</v>
      </c>
      <c r="H167" s="1111"/>
      <c r="I167" s="1111"/>
      <c r="J167" s="1111"/>
      <c r="K167" s="1111"/>
      <c r="L167" s="1111"/>
      <c r="M167" s="1111"/>
      <c r="N167" s="1111"/>
      <c r="O167" s="1111"/>
      <c r="P167" s="1111"/>
      <c r="Q167" s="1111"/>
      <c r="R167" s="1111" t="s">
        <v>718</v>
      </c>
      <c r="S167" s="1111"/>
      <c r="T167" s="1111"/>
      <c r="U167" s="1113" t="s">
        <v>719</v>
      </c>
    </row>
    <row r="168" spans="1:21">
      <c r="A168" s="796" t="s">
        <v>720</v>
      </c>
      <c r="B168" s="797" t="s">
        <v>721</v>
      </c>
      <c r="C168" s="797">
        <v>11</v>
      </c>
      <c r="D168" s="797">
        <v>12</v>
      </c>
      <c r="E168" s="797">
        <v>13</v>
      </c>
      <c r="F168" s="797">
        <v>14</v>
      </c>
      <c r="G168" s="797">
        <v>15</v>
      </c>
      <c r="H168" s="797">
        <v>16</v>
      </c>
      <c r="I168" s="797">
        <v>17</v>
      </c>
      <c r="J168" s="797">
        <v>18</v>
      </c>
      <c r="K168" s="797">
        <v>19</v>
      </c>
      <c r="L168" s="797">
        <v>20</v>
      </c>
      <c r="M168" s="797">
        <v>21</v>
      </c>
      <c r="N168" s="797">
        <v>22</v>
      </c>
      <c r="O168" s="797">
        <v>23</v>
      </c>
      <c r="P168" s="797">
        <v>24</v>
      </c>
      <c r="Q168" s="797">
        <v>25</v>
      </c>
      <c r="R168" s="797">
        <v>26</v>
      </c>
      <c r="S168" s="797">
        <v>27</v>
      </c>
      <c r="T168" s="797" t="s">
        <v>722</v>
      </c>
      <c r="U168" s="1114"/>
    </row>
    <row r="169" spans="1:21">
      <c r="A169" s="798" t="s">
        <v>723</v>
      </c>
      <c r="B169" s="799">
        <v>0.01</v>
      </c>
      <c r="C169" s="799">
        <v>0.01</v>
      </c>
      <c r="D169" s="799">
        <v>0.01</v>
      </c>
      <c r="E169" s="799">
        <v>0.01</v>
      </c>
      <c r="F169" s="799">
        <v>0.01</v>
      </c>
      <c r="G169" s="799">
        <v>1.4999999999999999E-2</v>
      </c>
      <c r="H169" s="799">
        <v>1.4999999999999999E-2</v>
      </c>
      <c r="I169" s="799">
        <v>1.4999999999999999E-2</v>
      </c>
      <c r="J169" s="799">
        <v>1.4999999999999999E-2</v>
      </c>
      <c r="K169" s="799">
        <v>1.4999999999999999E-2</v>
      </c>
      <c r="L169" s="799">
        <v>1.4999999999999999E-2</v>
      </c>
      <c r="M169" s="799">
        <v>1.4999999999999999E-2</v>
      </c>
      <c r="N169" s="799">
        <v>1.4999999999999999E-2</v>
      </c>
      <c r="O169" s="799">
        <v>1.4999999999999999E-2</v>
      </c>
      <c r="P169" s="799">
        <v>1.4999999999999999E-2</v>
      </c>
      <c r="Q169" s="799">
        <v>1.4999999999999999E-2</v>
      </c>
      <c r="R169" s="799">
        <v>0.02</v>
      </c>
      <c r="S169" s="799">
        <v>0.02</v>
      </c>
      <c r="T169" s="799">
        <v>0.02</v>
      </c>
      <c r="U169" s="800" t="s">
        <v>724</v>
      </c>
    </row>
    <row r="170" spans="1:21">
      <c r="A170" s="798" t="s">
        <v>725</v>
      </c>
      <c r="B170" s="799">
        <v>1E-3</v>
      </c>
      <c r="C170" s="799">
        <v>1E-3</v>
      </c>
      <c r="D170" s="799">
        <v>1E-3</v>
      </c>
      <c r="E170" s="799">
        <v>1E-3</v>
      </c>
      <c r="F170" s="799">
        <v>1E-3</v>
      </c>
      <c r="G170" s="799">
        <v>5.0000000000000001E-3</v>
      </c>
      <c r="H170" s="799">
        <v>5.0000000000000001E-3</v>
      </c>
      <c r="I170" s="799">
        <v>5.0000000000000001E-3</v>
      </c>
      <c r="J170" s="799">
        <v>5.0000000000000001E-3</v>
      </c>
      <c r="K170" s="799">
        <v>5.0000000000000001E-3</v>
      </c>
      <c r="L170" s="799">
        <v>5.0000000000000001E-3</v>
      </c>
      <c r="M170" s="799">
        <v>5.0000000000000001E-3</v>
      </c>
      <c r="N170" s="799">
        <v>5.0000000000000001E-3</v>
      </c>
      <c r="O170" s="799">
        <v>5.0000000000000001E-3</v>
      </c>
      <c r="P170" s="799">
        <v>5.0000000000000001E-3</v>
      </c>
      <c r="Q170" s="799">
        <v>5.0000000000000001E-3</v>
      </c>
      <c r="R170" s="799">
        <v>0.01</v>
      </c>
      <c r="S170" s="799">
        <v>0.01</v>
      </c>
      <c r="T170" s="799">
        <v>0.01</v>
      </c>
      <c r="U170" s="800" t="s">
        <v>726</v>
      </c>
    </row>
    <row r="171" spans="1:21" ht="27.75" customHeight="1">
      <c r="A171" s="798" t="s">
        <v>727</v>
      </c>
      <c r="B171" s="799">
        <v>0.02</v>
      </c>
      <c r="C171" s="799">
        <v>0.02</v>
      </c>
      <c r="D171" s="799">
        <v>0.02</v>
      </c>
      <c r="E171" s="799">
        <v>0.02</v>
      </c>
      <c r="F171" s="799">
        <v>0.02</v>
      </c>
      <c r="G171" s="799">
        <v>0.04</v>
      </c>
      <c r="H171" s="799">
        <v>0.04</v>
      </c>
      <c r="I171" s="799">
        <v>0.04</v>
      </c>
      <c r="J171" s="799">
        <v>0.04</v>
      </c>
      <c r="K171" s="799">
        <v>0.04</v>
      </c>
      <c r="L171" s="799">
        <v>0.04</v>
      </c>
      <c r="M171" s="799">
        <v>0.04</v>
      </c>
      <c r="N171" s="799">
        <v>0.04</v>
      </c>
      <c r="O171" s="799">
        <v>0.04</v>
      </c>
      <c r="P171" s="799">
        <v>0.04</v>
      </c>
      <c r="Q171" s="799">
        <v>0.04</v>
      </c>
      <c r="R171" s="799">
        <v>0.05</v>
      </c>
      <c r="S171" s="799">
        <v>0.05</v>
      </c>
      <c r="T171" s="799">
        <v>0.05</v>
      </c>
      <c r="U171" s="800" t="s">
        <v>728</v>
      </c>
    </row>
    <row r="172" spans="1:21">
      <c r="A172" s="798" t="s">
        <v>729</v>
      </c>
      <c r="B172" s="799">
        <v>0.01</v>
      </c>
      <c r="C172" s="799">
        <v>0.01</v>
      </c>
      <c r="D172" s="799">
        <v>0.01</v>
      </c>
      <c r="E172" s="799">
        <v>0.01</v>
      </c>
      <c r="F172" s="799">
        <v>0.01</v>
      </c>
      <c r="G172" s="799">
        <v>1.4999999999999999E-2</v>
      </c>
      <c r="H172" s="799">
        <v>1.4999999999999999E-2</v>
      </c>
      <c r="I172" s="799">
        <v>1.4999999999999999E-2</v>
      </c>
      <c r="J172" s="799">
        <v>1.4999999999999999E-2</v>
      </c>
      <c r="K172" s="799">
        <v>1.4999999999999999E-2</v>
      </c>
      <c r="L172" s="799">
        <v>1.4999999999999999E-2</v>
      </c>
      <c r="M172" s="799">
        <v>1.4999999999999999E-2</v>
      </c>
      <c r="N172" s="799">
        <v>1.4999999999999999E-2</v>
      </c>
      <c r="O172" s="799">
        <v>1.4999999999999999E-2</v>
      </c>
      <c r="P172" s="799">
        <v>1.4999999999999999E-2</v>
      </c>
      <c r="Q172" s="799">
        <v>1.4999999999999999E-2</v>
      </c>
      <c r="R172" s="799">
        <v>0.02</v>
      </c>
      <c r="S172" s="799">
        <v>0.02</v>
      </c>
      <c r="T172" s="799">
        <v>0.02</v>
      </c>
      <c r="U172" s="800" t="s">
        <v>724</v>
      </c>
    </row>
    <row r="173" spans="1:21" ht="38.25">
      <c r="A173" s="798" t="s">
        <v>730</v>
      </c>
      <c r="B173" s="799">
        <v>0.1</v>
      </c>
      <c r="C173" s="799">
        <v>0.11</v>
      </c>
      <c r="D173" s="799">
        <v>0.13</v>
      </c>
      <c r="E173" s="799">
        <v>0.14000000000000001</v>
      </c>
      <c r="F173" s="799">
        <v>0.15</v>
      </c>
      <c r="G173" s="799">
        <v>0.17</v>
      </c>
      <c r="H173" s="799">
        <v>0.18</v>
      </c>
      <c r="I173" s="799">
        <v>0.2</v>
      </c>
      <c r="J173" s="799">
        <v>0.22</v>
      </c>
      <c r="K173" s="799">
        <v>0.24</v>
      </c>
      <c r="L173" s="799">
        <v>0.26</v>
      </c>
      <c r="M173" s="799">
        <v>0.28999999999999998</v>
      </c>
      <c r="N173" s="799">
        <v>0.31</v>
      </c>
      <c r="O173" s="799">
        <v>0.34</v>
      </c>
      <c r="P173" s="799">
        <v>0.37</v>
      </c>
      <c r="Q173" s="799">
        <v>0.41</v>
      </c>
      <c r="R173" s="799">
        <v>0.44</v>
      </c>
      <c r="S173" s="799">
        <v>0.48</v>
      </c>
      <c r="T173" s="799">
        <v>0.5</v>
      </c>
      <c r="U173" s="800" t="s">
        <v>731</v>
      </c>
    </row>
    <row r="174" spans="1:21">
      <c r="A174" s="798" t="s">
        <v>732</v>
      </c>
      <c r="B174" s="799">
        <v>0.17</v>
      </c>
      <c r="C174" s="799">
        <v>0.19</v>
      </c>
      <c r="D174" s="799">
        <v>0.2</v>
      </c>
      <c r="E174" s="799">
        <v>0.22</v>
      </c>
      <c r="F174" s="799">
        <v>0.25</v>
      </c>
      <c r="G174" s="799">
        <v>0.27</v>
      </c>
      <c r="H174" s="799">
        <v>0.28999999999999998</v>
      </c>
      <c r="I174" s="799">
        <v>0.32</v>
      </c>
      <c r="J174" s="799">
        <v>0.35</v>
      </c>
      <c r="K174" s="799">
        <v>0.39</v>
      </c>
      <c r="L174" s="799">
        <v>0.42</v>
      </c>
      <c r="M174" s="799">
        <v>0.46</v>
      </c>
      <c r="N174" s="799">
        <v>0.5</v>
      </c>
      <c r="O174" s="799">
        <v>0.55000000000000004</v>
      </c>
      <c r="P174" s="799">
        <v>0.6</v>
      </c>
      <c r="Q174" s="799">
        <v>0.65</v>
      </c>
      <c r="R174" s="799">
        <v>0.71</v>
      </c>
      <c r="S174" s="799">
        <v>0.78</v>
      </c>
      <c r="T174" s="799">
        <v>0.8</v>
      </c>
      <c r="U174" s="800" t="s">
        <v>733</v>
      </c>
    </row>
    <row r="175" spans="1:21" ht="27.75" customHeight="1">
      <c r="A175" s="798" t="s">
        <v>734</v>
      </c>
      <c r="B175" s="799">
        <v>0.66</v>
      </c>
      <c r="C175" s="799">
        <v>0.68</v>
      </c>
      <c r="D175" s="799">
        <v>0.7</v>
      </c>
      <c r="E175" s="799">
        <v>0.71</v>
      </c>
      <c r="F175" s="799">
        <v>0.73</v>
      </c>
      <c r="G175" s="799">
        <v>0.74</v>
      </c>
      <c r="H175" s="799">
        <v>0.75</v>
      </c>
      <c r="I175" s="799">
        <v>0.76</v>
      </c>
      <c r="J175" s="799">
        <v>0.77</v>
      </c>
      <c r="K175" s="799">
        <v>0.77</v>
      </c>
      <c r="L175" s="799">
        <v>0.78</v>
      </c>
      <c r="M175" s="799">
        <v>0.78</v>
      </c>
      <c r="N175" s="799">
        <v>0.78</v>
      </c>
      <c r="O175" s="799">
        <v>0.79</v>
      </c>
      <c r="P175" s="799">
        <v>0.79</v>
      </c>
      <c r="Q175" s="799">
        <v>0.79</v>
      </c>
      <c r="R175" s="799">
        <v>0.79</v>
      </c>
      <c r="S175" s="799">
        <v>0.8</v>
      </c>
      <c r="T175" s="799">
        <v>0.8</v>
      </c>
      <c r="U175" s="800" t="s">
        <v>735</v>
      </c>
    </row>
    <row r="176" spans="1:21" ht="25.5">
      <c r="A176" s="798" t="s">
        <v>736</v>
      </c>
      <c r="B176" s="799">
        <v>0.03</v>
      </c>
      <c r="C176" s="799">
        <v>0.03</v>
      </c>
      <c r="D176" s="799">
        <v>0.03</v>
      </c>
      <c r="E176" s="799">
        <v>0.03</v>
      </c>
      <c r="F176" s="799">
        <v>0.03</v>
      </c>
      <c r="G176" s="799">
        <v>0.03</v>
      </c>
      <c r="H176" s="799">
        <v>0.03</v>
      </c>
      <c r="I176" s="799">
        <v>0.03</v>
      </c>
      <c r="J176" s="799">
        <v>0.03</v>
      </c>
      <c r="K176" s="799">
        <v>0.03</v>
      </c>
      <c r="L176" s="799">
        <v>0.03</v>
      </c>
      <c r="M176" s="799">
        <v>0.03</v>
      </c>
      <c r="N176" s="799">
        <v>0.03</v>
      </c>
      <c r="O176" s="799">
        <v>0.03</v>
      </c>
      <c r="P176" s="799">
        <v>0.03</v>
      </c>
      <c r="Q176" s="799">
        <v>0.03</v>
      </c>
      <c r="R176" s="799">
        <v>0.03</v>
      </c>
      <c r="S176" s="799">
        <v>0.03</v>
      </c>
      <c r="T176" s="799">
        <v>0.03</v>
      </c>
      <c r="U176" s="800" t="s">
        <v>737</v>
      </c>
    </row>
    <row r="177" spans="1:21" ht="25.5">
      <c r="A177" s="801" t="s">
        <v>738</v>
      </c>
      <c r="B177" s="802">
        <v>0.17</v>
      </c>
      <c r="C177" s="802">
        <v>0.19</v>
      </c>
      <c r="D177" s="802">
        <v>0.2</v>
      </c>
      <c r="E177" s="802">
        <v>0.22</v>
      </c>
      <c r="F177" s="802">
        <v>0.25</v>
      </c>
      <c r="G177" s="802">
        <v>0.27</v>
      </c>
      <c r="H177" s="802">
        <v>0.28999999999999998</v>
      </c>
      <c r="I177" s="802">
        <v>0.32</v>
      </c>
      <c r="J177" s="802">
        <v>0.35</v>
      </c>
      <c r="K177" s="802">
        <v>0.39</v>
      </c>
      <c r="L177" s="802">
        <v>0.42</v>
      </c>
      <c r="M177" s="802">
        <v>0.46</v>
      </c>
      <c r="N177" s="802">
        <v>0.5</v>
      </c>
      <c r="O177" s="802">
        <v>0.55000000000000004</v>
      </c>
      <c r="P177" s="802">
        <v>0.6</v>
      </c>
      <c r="Q177" s="802">
        <v>0.65</v>
      </c>
      <c r="R177" s="802">
        <v>0.71</v>
      </c>
      <c r="S177" s="802">
        <v>0.78</v>
      </c>
      <c r="T177" s="802">
        <v>0.8</v>
      </c>
      <c r="U177" s="800" t="s">
        <v>739</v>
      </c>
    </row>
    <row r="178" spans="1:21" ht="25.5">
      <c r="A178" s="798" t="s">
        <v>740</v>
      </c>
      <c r="B178" s="799" t="s">
        <v>741</v>
      </c>
      <c r="C178" s="799" t="s">
        <v>741</v>
      </c>
      <c r="D178" s="799" t="s">
        <v>741</v>
      </c>
      <c r="E178" s="799" t="s">
        <v>741</v>
      </c>
      <c r="F178" s="799" t="s">
        <v>741</v>
      </c>
      <c r="G178" s="799" t="s">
        <v>741</v>
      </c>
      <c r="H178" s="799" t="s">
        <v>741</v>
      </c>
      <c r="I178" s="799" t="s">
        <v>741</v>
      </c>
      <c r="J178" s="799" t="s">
        <v>741</v>
      </c>
      <c r="K178" s="799" t="s">
        <v>741</v>
      </c>
      <c r="L178" s="799" t="s">
        <v>741</v>
      </c>
      <c r="M178" s="799" t="s">
        <v>741</v>
      </c>
      <c r="N178" s="799" t="s">
        <v>741</v>
      </c>
      <c r="O178" s="799" t="s">
        <v>741</v>
      </c>
      <c r="P178" s="799" t="s">
        <v>741</v>
      </c>
      <c r="Q178" s="799" t="s">
        <v>741</v>
      </c>
      <c r="R178" s="799" t="s">
        <v>741</v>
      </c>
      <c r="S178" s="799" t="s">
        <v>741</v>
      </c>
      <c r="T178" s="799" t="s">
        <v>741</v>
      </c>
      <c r="U178" s="800" t="s">
        <v>742</v>
      </c>
    </row>
    <row r="179" spans="1:21">
      <c r="A179" s="798" t="s">
        <v>743</v>
      </c>
      <c r="B179" s="799">
        <v>0.1</v>
      </c>
      <c r="C179" s="799">
        <v>0.1</v>
      </c>
      <c r="D179" s="799">
        <v>0.1</v>
      </c>
      <c r="E179" s="799">
        <v>0.1</v>
      </c>
      <c r="F179" s="799">
        <v>0.1</v>
      </c>
      <c r="G179" s="799">
        <v>0.1</v>
      </c>
      <c r="H179" s="799">
        <v>0.1</v>
      </c>
      <c r="I179" s="799">
        <v>0.1</v>
      </c>
      <c r="J179" s="799">
        <v>0.1</v>
      </c>
      <c r="K179" s="799">
        <v>0.1</v>
      </c>
      <c r="L179" s="799">
        <v>0.1</v>
      </c>
      <c r="M179" s="799">
        <v>0.1</v>
      </c>
      <c r="N179" s="799">
        <v>0.1</v>
      </c>
      <c r="O179" s="799">
        <v>0.1</v>
      </c>
      <c r="P179" s="799">
        <v>0.1</v>
      </c>
      <c r="Q179" s="799">
        <v>0.1</v>
      </c>
      <c r="R179" s="799">
        <v>0.1</v>
      </c>
      <c r="S179" s="799">
        <v>0.1</v>
      </c>
      <c r="T179" s="799">
        <v>0.1</v>
      </c>
      <c r="U179" s="800" t="s">
        <v>744</v>
      </c>
    </row>
    <row r="180" spans="1:21" ht="25.5">
      <c r="A180" s="798" t="s">
        <v>745</v>
      </c>
      <c r="B180" s="799">
        <v>0.03</v>
      </c>
      <c r="C180" s="799">
        <v>0.03</v>
      </c>
      <c r="D180" s="799">
        <v>0.03</v>
      </c>
      <c r="E180" s="799">
        <v>0.03</v>
      </c>
      <c r="F180" s="799">
        <v>0.03</v>
      </c>
      <c r="G180" s="799">
        <v>0.03</v>
      </c>
      <c r="H180" s="799">
        <v>0.03</v>
      </c>
      <c r="I180" s="799">
        <v>0.03</v>
      </c>
      <c r="J180" s="799">
        <v>0.03</v>
      </c>
      <c r="K180" s="799">
        <v>0.03</v>
      </c>
      <c r="L180" s="799">
        <v>0.03</v>
      </c>
      <c r="M180" s="799">
        <v>0.03</v>
      </c>
      <c r="N180" s="799">
        <v>0.03</v>
      </c>
      <c r="O180" s="799">
        <v>0.03</v>
      </c>
      <c r="P180" s="799">
        <v>0.03</v>
      </c>
      <c r="Q180" s="799">
        <v>0.03</v>
      </c>
      <c r="R180" s="799">
        <v>0.3</v>
      </c>
      <c r="S180" s="799">
        <v>0.3</v>
      </c>
      <c r="T180" s="799">
        <v>0.3</v>
      </c>
      <c r="U180" s="800" t="s">
        <v>746</v>
      </c>
    </row>
    <row r="181" spans="1:21">
      <c r="A181" s="798" t="s">
        <v>747</v>
      </c>
      <c r="B181" s="799">
        <v>0.17</v>
      </c>
      <c r="C181" s="799">
        <v>0.19</v>
      </c>
      <c r="D181" s="799">
        <v>0.2</v>
      </c>
      <c r="E181" s="799">
        <v>0.22</v>
      </c>
      <c r="F181" s="799">
        <v>0.25</v>
      </c>
      <c r="G181" s="799">
        <v>0.27</v>
      </c>
      <c r="H181" s="799">
        <v>0.28999999999999998</v>
      </c>
      <c r="I181" s="799">
        <v>0.32</v>
      </c>
      <c r="J181" s="799">
        <v>0.35</v>
      </c>
      <c r="K181" s="799">
        <v>0.39</v>
      </c>
      <c r="L181" s="799">
        <v>0.42</v>
      </c>
      <c r="M181" s="799">
        <v>0.46</v>
      </c>
      <c r="N181" s="799">
        <v>0.5</v>
      </c>
      <c r="O181" s="799">
        <v>0.55000000000000004</v>
      </c>
      <c r="P181" s="799">
        <v>0.6</v>
      </c>
      <c r="Q181" s="799">
        <v>0.65</v>
      </c>
      <c r="R181" s="799">
        <v>0.71</v>
      </c>
      <c r="S181" s="799">
        <v>0.78</v>
      </c>
      <c r="T181" s="799">
        <v>0.9</v>
      </c>
      <c r="U181" s="800" t="s">
        <v>748</v>
      </c>
    </row>
    <row r="182" spans="1:21" ht="14.25" customHeight="1">
      <c r="A182" s="798" t="s">
        <v>749</v>
      </c>
      <c r="B182" s="799">
        <v>5.0000000000000001E-3</v>
      </c>
      <c r="C182" s="799">
        <v>5.0000000000000001E-3</v>
      </c>
      <c r="D182" s="799">
        <v>5.0000000000000001E-3</v>
      </c>
      <c r="E182" s="799">
        <v>5.0000000000000001E-3</v>
      </c>
      <c r="F182" s="799">
        <v>5.0000000000000001E-3</v>
      </c>
      <c r="G182" s="799">
        <v>5.0000000000000001E-3</v>
      </c>
      <c r="H182" s="799">
        <v>5.0000000000000001E-3</v>
      </c>
      <c r="I182" s="799">
        <v>5.0000000000000001E-3</v>
      </c>
      <c r="J182" s="799">
        <v>5.0000000000000001E-3</v>
      </c>
      <c r="K182" s="799">
        <v>5.0000000000000001E-3</v>
      </c>
      <c r="L182" s="799">
        <v>5.0000000000000001E-3</v>
      </c>
      <c r="M182" s="799">
        <v>5.0000000000000001E-3</v>
      </c>
      <c r="N182" s="799">
        <v>5.0000000000000001E-3</v>
      </c>
      <c r="O182" s="799">
        <v>5.0000000000000001E-3</v>
      </c>
      <c r="P182" s="799">
        <v>5.0000000000000001E-3</v>
      </c>
      <c r="Q182" s="799">
        <v>5.0000000000000001E-3</v>
      </c>
      <c r="R182" s="799">
        <v>5.0000000000000001E-3</v>
      </c>
      <c r="S182" s="799">
        <v>5.0000000000000001E-3</v>
      </c>
      <c r="T182" s="799">
        <v>5.0000000000000001E-3</v>
      </c>
      <c r="U182" s="800" t="s">
        <v>750</v>
      </c>
    </row>
    <row r="183" spans="1:21" ht="15" customHeight="1">
      <c r="A183" s="798" t="s">
        <v>751</v>
      </c>
      <c r="B183" s="799">
        <v>5.0000000000000001E-3</v>
      </c>
      <c r="C183" s="799">
        <v>5.0000000000000001E-3</v>
      </c>
      <c r="D183" s="799">
        <v>5.0000000000000001E-3</v>
      </c>
      <c r="E183" s="799">
        <v>5.0000000000000001E-3</v>
      </c>
      <c r="F183" s="799">
        <v>5.0000000000000001E-3</v>
      </c>
      <c r="G183" s="799">
        <v>0.01</v>
      </c>
      <c r="H183" s="799">
        <v>0.01</v>
      </c>
      <c r="I183" s="799">
        <v>0.01</v>
      </c>
      <c r="J183" s="799">
        <v>0.01</v>
      </c>
      <c r="K183" s="799">
        <v>0.01</v>
      </c>
      <c r="L183" s="799">
        <v>0.01</v>
      </c>
      <c r="M183" s="799">
        <v>0.01</v>
      </c>
      <c r="N183" s="799">
        <v>0.01</v>
      </c>
      <c r="O183" s="799">
        <v>0.01</v>
      </c>
      <c r="P183" s="799">
        <v>0.01</v>
      </c>
      <c r="Q183" s="799">
        <v>0.01</v>
      </c>
      <c r="R183" s="799">
        <v>1.4999999999999999E-2</v>
      </c>
      <c r="S183" s="799">
        <v>1.4999999999999999E-2</v>
      </c>
      <c r="T183" s="799">
        <v>1.4999999999999999E-2</v>
      </c>
      <c r="U183" s="800" t="s">
        <v>752</v>
      </c>
    </row>
    <row r="184" spans="1:21" ht="39" customHeight="1" thickBot="1">
      <c r="A184" s="803" t="s">
        <v>753</v>
      </c>
      <c r="B184" s="804">
        <v>0</v>
      </c>
      <c r="C184" s="804">
        <v>0</v>
      </c>
      <c r="D184" s="804">
        <v>0</v>
      </c>
      <c r="E184" s="804">
        <v>0</v>
      </c>
      <c r="F184" s="804">
        <v>0</v>
      </c>
      <c r="G184" s="804">
        <v>0</v>
      </c>
      <c r="H184" s="804">
        <v>0</v>
      </c>
      <c r="I184" s="804">
        <v>0</v>
      </c>
      <c r="J184" s="804">
        <v>0</v>
      </c>
      <c r="K184" s="804">
        <v>0</v>
      </c>
      <c r="L184" s="804">
        <v>0</v>
      </c>
      <c r="M184" s="804">
        <v>0</v>
      </c>
      <c r="N184" s="804">
        <v>0</v>
      </c>
      <c r="O184" s="804">
        <v>0</v>
      </c>
      <c r="P184" s="804">
        <v>0</v>
      </c>
      <c r="Q184" s="804">
        <v>0</v>
      </c>
      <c r="R184" s="804">
        <v>0</v>
      </c>
      <c r="S184" s="804">
        <v>0</v>
      </c>
      <c r="T184" s="804">
        <v>0</v>
      </c>
      <c r="U184" s="805" t="s">
        <v>754</v>
      </c>
    </row>
    <row r="186" spans="1:21">
      <c r="A186" s="761" t="s">
        <v>755</v>
      </c>
      <c r="B186" s="714"/>
      <c r="C186" s="714"/>
      <c r="D186" s="714"/>
    </row>
    <row r="187" spans="1:21" ht="44.25" customHeight="1" thickBot="1">
      <c r="A187" s="1105" t="s">
        <v>756</v>
      </c>
      <c r="B187" s="1105"/>
      <c r="C187" s="1105"/>
      <c r="D187" s="1105"/>
    </row>
    <row r="188" spans="1:21" ht="30" customHeight="1">
      <c r="A188" s="806" t="s">
        <v>757</v>
      </c>
      <c r="B188" s="782" t="s">
        <v>758</v>
      </c>
      <c r="C188" s="714"/>
      <c r="D188" s="714"/>
    </row>
    <row r="189" spans="1:21">
      <c r="A189" s="798" t="s">
        <v>759</v>
      </c>
      <c r="B189" s="807">
        <v>0.96</v>
      </c>
      <c r="C189" s="714"/>
      <c r="D189" s="714"/>
    </row>
    <row r="190" spans="1:21">
      <c r="A190" s="798" t="s">
        <v>760</v>
      </c>
      <c r="B190" s="807">
        <v>0.995</v>
      </c>
      <c r="C190" s="714"/>
      <c r="D190" s="714"/>
    </row>
    <row r="191" spans="1:21">
      <c r="A191" s="808" t="s">
        <v>761</v>
      </c>
      <c r="B191" s="807">
        <v>0.93600000000000005</v>
      </c>
      <c r="C191" s="714"/>
      <c r="D191" s="714"/>
    </row>
    <row r="192" spans="1:21">
      <c r="A192" s="798" t="s">
        <v>762</v>
      </c>
      <c r="B192" s="807">
        <v>0.995</v>
      </c>
      <c r="C192" s="714"/>
      <c r="D192" s="714"/>
    </row>
    <row r="193" spans="1:4">
      <c r="A193" s="798" t="s">
        <v>763</v>
      </c>
      <c r="B193" s="807">
        <v>0.98</v>
      </c>
      <c r="C193" s="714"/>
      <c r="D193" s="714"/>
    </row>
    <row r="194" spans="1:4">
      <c r="A194" s="798" t="s">
        <v>764</v>
      </c>
      <c r="B194" s="807">
        <v>0.995</v>
      </c>
      <c r="C194" s="714"/>
      <c r="D194" s="714"/>
    </row>
    <row r="195" spans="1:4">
      <c r="A195" s="798" t="s">
        <v>765</v>
      </c>
      <c r="B195" s="807">
        <v>0.95</v>
      </c>
      <c r="C195" s="714"/>
      <c r="D195" s="714"/>
    </row>
    <row r="196" spans="1:4" ht="25.5">
      <c r="A196" s="798" t="s">
        <v>766</v>
      </c>
      <c r="B196" s="807">
        <v>0.98</v>
      </c>
      <c r="C196" s="714"/>
      <c r="D196" s="714"/>
    </row>
    <row r="197" spans="1:4" ht="26.25" thickBot="1">
      <c r="A197" s="803" t="s">
        <v>767</v>
      </c>
      <c r="B197" s="778" t="s">
        <v>768</v>
      </c>
      <c r="C197" s="714"/>
      <c r="D197" s="714"/>
    </row>
    <row r="199" spans="1:4" ht="15.75" thickBot="1">
      <c r="A199" s="761" t="s">
        <v>769</v>
      </c>
      <c r="B199" s="714"/>
    </row>
    <row r="200" spans="1:4" ht="66.75">
      <c r="A200" s="806" t="s">
        <v>770</v>
      </c>
      <c r="B200" s="782" t="s">
        <v>771</v>
      </c>
      <c r="C200" s="782" t="s">
        <v>772</v>
      </c>
    </row>
    <row r="201" spans="1:4">
      <c r="A201" s="809" t="s">
        <v>773</v>
      </c>
      <c r="B201" s="810">
        <v>0.45</v>
      </c>
      <c r="C201" s="810">
        <f>1-B201</f>
        <v>0.55000000000000004</v>
      </c>
    </row>
    <row r="202" spans="1:4">
      <c r="A202" s="809" t="s">
        <v>774</v>
      </c>
      <c r="B202" s="810"/>
      <c r="C202" s="810"/>
    </row>
    <row r="203" spans="1:4">
      <c r="A203" s="811" t="s">
        <v>775</v>
      </c>
      <c r="B203" s="810">
        <v>0.17</v>
      </c>
      <c r="C203" s="810">
        <f>1-B203</f>
        <v>0.83</v>
      </c>
    </row>
    <row r="204" spans="1:4">
      <c r="A204" s="811" t="s">
        <v>776</v>
      </c>
      <c r="B204" s="810">
        <v>0.15</v>
      </c>
      <c r="C204" s="810">
        <f t="shared" ref="C204:C207" si="1">1-B204</f>
        <v>0.85</v>
      </c>
    </row>
    <row r="205" spans="1:4">
      <c r="A205" s="811" t="s">
        <v>777</v>
      </c>
      <c r="B205" s="810">
        <v>0.25</v>
      </c>
      <c r="C205" s="810">
        <f t="shared" si="1"/>
        <v>0.75</v>
      </c>
    </row>
    <row r="206" spans="1:4">
      <c r="A206" s="811" t="s">
        <v>778</v>
      </c>
      <c r="B206" s="810">
        <v>0.5</v>
      </c>
      <c r="C206" s="810">
        <f t="shared" si="1"/>
        <v>0.5</v>
      </c>
    </row>
    <row r="207" spans="1:4">
      <c r="A207" s="811" t="s">
        <v>779</v>
      </c>
      <c r="B207" s="810">
        <v>0.25</v>
      </c>
      <c r="C207" s="810">
        <f t="shared" si="1"/>
        <v>0.75</v>
      </c>
    </row>
    <row r="208" spans="1:4" ht="15.75" thickBot="1">
      <c r="A208" s="812" t="s">
        <v>780</v>
      </c>
      <c r="B208" s="813">
        <v>0.5</v>
      </c>
      <c r="C208" s="813">
        <f>1-B208</f>
        <v>0.5</v>
      </c>
    </row>
    <row r="210" spans="1:1" ht="15.75" thickBot="1"/>
    <row r="211" spans="1:1" ht="30" customHeight="1" thickBot="1">
      <c r="A211" s="814" t="s">
        <v>781</v>
      </c>
    </row>
    <row r="212" spans="1:1" ht="30" customHeight="1" thickBot="1">
      <c r="A212" s="815" t="s">
        <v>243</v>
      </c>
    </row>
    <row r="213" spans="1:1">
      <c r="A213" s="816" t="s">
        <v>734</v>
      </c>
    </row>
    <row r="214" spans="1:1">
      <c r="A214" s="817" t="s">
        <v>782</v>
      </c>
    </row>
    <row r="215" spans="1:1">
      <c r="A215" s="817" t="s">
        <v>783</v>
      </c>
    </row>
    <row r="216" spans="1:1">
      <c r="A216" s="821" t="s">
        <v>723</v>
      </c>
    </row>
    <row r="217" spans="1:1">
      <c r="A217" s="817" t="s">
        <v>725</v>
      </c>
    </row>
    <row r="218" spans="1:1" ht="15" customHeight="1">
      <c r="A218" s="817" t="s">
        <v>727</v>
      </c>
    </row>
    <row r="219" spans="1:1">
      <c r="A219" s="817" t="s">
        <v>729</v>
      </c>
    </row>
    <row r="220" spans="1:1" ht="17.45" customHeight="1">
      <c r="A220" s="817" t="s">
        <v>736</v>
      </c>
    </row>
    <row r="221" spans="1:1" ht="15.95" customHeight="1">
      <c r="A221" s="817" t="s">
        <v>738</v>
      </c>
    </row>
    <row r="222" spans="1:1">
      <c r="A222" s="817" t="s">
        <v>784</v>
      </c>
    </row>
    <row r="223" spans="1:1">
      <c r="A223" s="817" t="s">
        <v>785</v>
      </c>
    </row>
    <row r="224" spans="1:1">
      <c r="A224" s="817" t="s">
        <v>749</v>
      </c>
    </row>
    <row r="225" spans="1:1">
      <c r="A225" s="817" t="s">
        <v>751</v>
      </c>
    </row>
    <row r="226" spans="1:1">
      <c r="A226" s="817" t="s">
        <v>753</v>
      </c>
    </row>
    <row r="227" spans="1:1" ht="15.75" thickBot="1">
      <c r="A227" s="818" t="s">
        <v>743</v>
      </c>
    </row>
  </sheetData>
  <mergeCells count="8">
    <mergeCell ref="A187:D187"/>
    <mergeCell ref="A107:A108"/>
    <mergeCell ref="A165:U165"/>
    <mergeCell ref="B166:U166"/>
    <mergeCell ref="B167:F167"/>
    <mergeCell ref="G167:Q167"/>
    <mergeCell ref="R167:T167"/>
    <mergeCell ref="U167:U168"/>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79adf513-09a8-4850-8ad5-7ab91760ab77">
      <Terms xmlns="http://schemas.microsoft.com/office/infopath/2007/PartnerControls"/>
    </lcf76f155ced4ddcb4097134ff3c332f>
    <TaxCatchAll xmlns="f01af37b-b357-48b0-a576-b64b7e6d7c4b" xsi:nil="true"/>
    <_ip_UnifiedCompliancePolicyProperties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F72601200F3D046825A75DF5A6E819F" ma:contentTypeVersion="19" ma:contentTypeDescription="Create a new document." ma:contentTypeScope="" ma:versionID="c06e79ab0d0d9d4d928516ff286296bb">
  <xsd:schema xmlns:xsd="http://www.w3.org/2001/XMLSchema" xmlns:xs="http://www.w3.org/2001/XMLSchema" xmlns:p="http://schemas.microsoft.com/office/2006/metadata/properties" xmlns:ns1="http://schemas.microsoft.com/sharepoint/v3" xmlns:ns2="79adf513-09a8-4850-8ad5-7ab91760ab77" xmlns:ns3="f01af37b-b357-48b0-a576-b64b7e6d7c4b" targetNamespace="http://schemas.microsoft.com/office/2006/metadata/properties" ma:root="true" ma:fieldsID="1ed509ff0e976b17257003d3da45d209" ns1:_="" ns2:_="" ns3:_="">
    <xsd:import namespace="http://schemas.microsoft.com/sharepoint/v3"/>
    <xsd:import namespace="79adf513-09a8-4850-8ad5-7ab91760ab77"/>
    <xsd:import namespace="f01af37b-b357-48b0-a576-b64b7e6d7c4b"/>
    <xsd:element name="properties">
      <xsd:complexType>
        <xsd:sequence>
          <xsd:element name="documentManagement">
            <xsd:complexType>
              <xsd:all>
                <xsd:element ref="ns2:MediaServiceMetadata" minOccurs="0"/>
                <xsd:element ref="ns2:MediaServiceFastMetadata" minOccurs="0"/>
                <xsd:element ref="ns3:TaxCatchAll" minOccurs="0"/>
                <xsd:element ref="ns2:MediaServiceOCR" minOccurs="0"/>
                <xsd:element ref="ns2:MediaServiceGenerationTime" minOccurs="0"/>
                <xsd:element ref="ns2:MediaServiceEventHashCode" minOccurs="0"/>
                <xsd:element ref="ns2:lcf76f155ced4ddcb4097134ff3c332f" minOccurs="0"/>
                <xsd:element ref="ns2:MediaServiceDateTaken" minOccurs="0"/>
                <xsd:element ref="ns3:SharedWithUsers" minOccurs="0"/>
                <xsd:element ref="ns3:SharedWithDetails" minOccurs="0"/>
                <xsd:element ref="ns2:MediaLengthInSeconds" minOccurs="0"/>
                <xsd:element ref="ns2:MediaServiceObjectDetectorVersions" minOccurs="0"/>
                <xsd:element ref="ns2:MediaServiceLocation" minOccurs="0"/>
                <xsd:element ref="ns1:_ip_UnifiedCompliancePolicyProperties" minOccurs="0"/>
                <xsd:element ref="ns1:_ip_UnifiedCompliancePolicyUIAc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2" nillable="true" ma:displayName="Unified Compliance Policy Properties" ma:hidden="true" ma:internalName="_ip_UnifiedCompliancePolicyProperties">
      <xsd:simpleType>
        <xsd:restriction base="dms:Note"/>
      </xsd:simpleType>
    </xsd:element>
    <xsd:element name="_ip_UnifiedCompliancePolicyUIAction" ma:index="2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9adf513-09a8-4850-8ad5-7ab91760ab7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05073050-3fd1-4e92-a2b5-a3b9c7057e57" ma:termSetId="09814cd3-568e-fe90-9814-8d621ff8fb84" ma:anchorId="fba54fb3-c3e1-fe81-a776-ca4b69148c4d" ma:open="true" ma:isKeyword="false">
      <xsd:complexType>
        <xsd:sequence>
          <xsd:element ref="pc:Terms" minOccurs="0" maxOccurs="1"/>
        </xsd:sequence>
      </xsd:complex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01af37b-b357-48b0-a576-b64b7e6d7c4b"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bd36659e-3135-4dd3-8b42-93ada21b5fbd}" ma:internalName="TaxCatchAll" ma:showField="CatchAllData" ma:web="f01af37b-b357-48b0-a576-b64b7e6d7c4b">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FACE84D-EC47-4C21-840C-220748F3861E}"/>
</file>

<file path=customXml/itemProps2.xml><?xml version="1.0" encoding="utf-8"?>
<ds:datastoreItem xmlns:ds="http://schemas.openxmlformats.org/officeDocument/2006/customXml" ds:itemID="{3C66C35A-CFA5-4C28-9670-1EB92586CF47}"/>
</file>

<file path=customXml/itemProps3.xml><?xml version="1.0" encoding="utf-8"?>
<ds:datastoreItem xmlns:ds="http://schemas.openxmlformats.org/officeDocument/2006/customXml" ds:itemID="{27699BFE-3EBD-45B7-BCA8-289187596CC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CARB</dc:creator>
  <cp:keywords/>
  <dc:description/>
  <cp:lastModifiedBy>Manavi, Narges@ARB</cp:lastModifiedBy>
  <cp:revision/>
  <dcterms:created xsi:type="dcterms:W3CDTF">2023-06-11T08:13:24Z</dcterms:created>
  <dcterms:modified xsi:type="dcterms:W3CDTF">2025-07-01T22:43:13Z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0x010100FF72601200F3D046825A75DF5A6E819F</vt:lpwstr>
  </property>
  <property fmtid="{D5CDD505-2E9C-101B-9397-08002B2CF9AE}" pid="3" name="MediaServiceImageTags">
    <vt:lpwstr/>
  </property>
</Properties>
</file>